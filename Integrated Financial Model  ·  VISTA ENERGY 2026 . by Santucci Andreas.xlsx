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ntu\Downloads\"/>
    </mc:Choice>
  </mc:AlternateContent>
  <xr:revisionPtr revIDLastSave="0" documentId="8_{DA020F7C-4E04-47F7-B245-1C8C15EEB7F6}" xr6:coauthVersionLast="47" xr6:coauthVersionMax="47" xr10:uidLastSave="{00000000-0000-0000-0000-000000000000}"/>
  <bookViews>
    <workbookView xWindow="-120" yWindow="-120" windowWidth="29040" windowHeight="15390" xr2:uid="{BDF9F424-A812-4DE9-9F4F-32863200CB87}"/>
  </bookViews>
  <sheets>
    <sheet name="Cover" sheetId="2" r:id="rId1"/>
    <sheet name="Outputs" sheetId="1" r:id="rId2"/>
    <sheet name="Imput Historical" sheetId="5" r:id="rId3"/>
    <sheet name="Imputs Drivers" sheetId="3" r:id="rId4"/>
    <sheet name="Mode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6" i="1" l="1"/>
  <c r="I16" i="1"/>
  <c r="O9" i="1"/>
  <c r="N9" i="1"/>
  <c r="M9" i="1"/>
  <c r="L9" i="1"/>
  <c r="K9" i="1"/>
  <c r="J9" i="1"/>
  <c r="I9" i="1"/>
  <c r="H9" i="1"/>
  <c r="O8" i="1"/>
  <c r="N8" i="1"/>
  <c r="M8" i="1"/>
  <c r="L8" i="1"/>
  <c r="K8" i="1"/>
  <c r="J8" i="1"/>
  <c r="I8" i="1"/>
  <c r="H8" i="1"/>
  <c r="J234" i="5"/>
  <c r="I234" i="5"/>
  <c r="H234" i="5"/>
  <c r="J233" i="5"/>
  <c r="I233" i="5"/>
  <c r="H233" i="5"/>
  <c r="J232" i="5"/>
  <c r="I232" i="5"/>
  <c r="H232" i="5"/>
  <c r="O26" i="4"/>
  <c r="N26" i="4"/>
  <c r="M26" i="4"/>
  <c r="L26" i="4"/>
  <c r="K26" i="4"/>
  <c r="J26" i="4"/>
  <c r="I26" i="4"/>
  <c r="H26" i="4"/>
  <c r="G26" i="4"/>
  <c r="J7" i="1"/>
  <c r="I7" i="1"/>
  <c r="H7" i="1"/>
  <c r="G7" i="1"/>
  <c r="O159" i="4"/>
  <c r="N159" i="4"/>
  <c r="M159" i="4"/>
  <c r="L159" i="4"/>
  <c r="K159" i="4"/>
  <c r="J159" i="4"/>
  <c r="I159" i="4"/>
  <c r="H159" i="4"/>
  <c r="G159" i="4"/>
  <c r="J158" i="4"/>
  <c r="I158" i="4"/>
  <c r="H158" i="4"/>
  <c r="G158" i="4"/>
  <c r="C115" i="1"/>
  <c r="K139" i="4"/>
  <c r="O167" i="4"/>
  <c r="O139" i="4" s="1"/>
  <c r="N167" i="4"/>
  <c r="N139" i="4" s="1"/>
  <c r="M167" i="4"/>
  <c r="M139" i="4" s="1"/>
  <c r="L167" i="4"/>
  <c r="L139" i="4" s="1"/>
  <c r="K167" i="4"/>
  <c r="O166" i="4"/>
  <c r="O140" i="4" s="1"/>
  <c r="N166" i="4"/>
  <c r="N140" i="4" s="1"/>
  <c r="M166" i="4"/>
  <c r="M140" i="4" s="1"/>
  <c r="L166" i="4"/>
  <c r="L140" i="4" s="1"/>
  <c r="K166" i="4"/>
  <c r="K140" i="4" s="1"/>
  <c r="H211" i="5"/>
  <c r="H210" i="5"/>
  <c r="H209" i="5"/>
  <c r="H197" i="5"/>
  <c r="H184" i="5"/>
  <c r="H171" i="5"/>
  <c r="H170" i="5"/>
  <c r="H163" i="5"/>
  <c r="G211" i="5"/>
  <c r="G210" i="5"/>
  <c r="G209" i="5"/>
  <c r="G197" i="5"/>
  <c r="G184" i="5"/>
  <c r="G171" i="5"/>
  <c r="G170" i="5"/>
  <c r="G163" i="5"/>
  <c r="G120" i="1"/>
  <c r="F120" i="1"/>
  <c r="E120" i="1"/>
  <c r="D120" i="1"/>
  <c r="C120" i="1"/>
  <c r="K101" i="1"/>
  <c r="J101" i="1"/>
  <c r="I101" i="1"/>
  <c r="H101" i="1"/>
  <c r="G101" i="1"/>
  <c r="J10" i="1"/>
  <c r="I10" i="1"/>
  <c r="H10" i="1"/>
  <c r="G10" i="1"/>
  <c r="J157" i="4"/>
  <c r="J11" i="1" s="1"/>
  <c r="I157" i="4"/>
  <c r="I11" i="1" s="1"/>
  <c r="H157" i="4"/>
  <c r="H11" i="1" s="1"/>
  <c r="G157" i="4"/>
  <c r="G11" i="1" s="1"/>
  <c r="J156" i="4"/>
  <c r="I156" i="4"/>
  <c r="H156" i="4"/>
  <c r="G156" i="4"/>
  <c r="J148" i="4"/>
  <c r="I148" i="4"/>
  <c r="H148" i="4"/>
  <c r="J147" i="4"/>
  <c r="I147" i="4"/>
  <c r="H147" i="4"/>
  <c r="J144" i="4"/>
  <c r="J44" i="1" s="1"/>
  <c r="I144" i="4"/>
  <c r="I44" i="1" s="1"/>
  <c r="H144" i="4"/>
  <c r="H44" i="1" s="1"/>
  <c r="J141" i="4"/>
  <c r="I141" i="4"/>
  <c r="H141" i="4"/>
  <c r="J140" i="4"/>
  <c r="I140" i="4"/>
  <c r="H140" i="4"/>
  <c r="J139" i="4"/>
  <c r="I139" i="4"/>
  <c r="H139" i="4"/>
  <c r="J136" i="4"/>
  <c r="J42" i="1" s="1"/>
  <c r="I136" i="4"/>
  <c r="I42" i="1" s="1"/>
  <c r="H136" i="4"/>
  <c r="J133" i="4"/>
  <c r="J43" i="1" s="1"/>
  <c r="I133" i="4"/>
  <c r="I43" i="1" s="1"/>
  <c r="H133" i="4"/>
  <c r="H43" i="1" s="1"/>
  <c r="J130" i="4"/>
  <c r="J41" i="1" s="1"/>
  <c r="I130" i="4"/>
  <c r="I41" i="1" s="1"/>
  <c r="H130" i="4"/>
  <c r="H41" i="1" s="1"/>
  <c r="G148" i="4"/>
  <c r="G147" i="4"/>
  <c r="G144" i="4"/>
  <c r="G44" i="1" s="1"/>
  <c r="G141" i="4"/>
  <c r="G140" i="4"/>
  <c r="G139" i="4"/>
  <c r="G136" i="4"/>
  <c r="G42" i="1" s="1"/>
  <c r="G133" i="4"/>
  <c r="G43" i="1" s="1"/>
  <c r="G130" i="4"/>
  <c r="G41" i="1" s="1"/>
  <c r="J111" i="4"/>
  <c r="I111" i="4"/>
  <c r="H111" i="4"/>
  <c r="J110" i="4"/>
  <c r="I110" i="4"/>
  <c r="H110" i="4"/>
  <c r="J109" i="4"/>
  <c r="I109" i="4"/>
  <c r="H109" i="4"/>
  <c r="J108" i="4"/>
  <c r="I108" i="4"/>
  <c r="H108" i="4"/>
  <c r="J107" i="4"/>
  <c r="I107" i="4"/>
  <c r="H107" i="4"/>
  <c r="J106" i="4"/>
  <c r="K106" i="4" s="1"/>
  <c r="L106" i="4" s="1"/>
  <c r="M106" i="4" s="1"/>
  <c r="N106" i="4" s="1"/>
  <c r="O106" i="4" s="1"/>
  <c r="I106" i="4"/>
  <c r="H106" i="4"/>
  <c r="J105" i="4"/>
  <c r="K105" i="4" s="1"/>
  <c r="L105" i="4" s="1"/>
  <c r="M105" i="4" s="1"/>
  <c r="I105" i="4"/>
  <c r="H105" i="4"/>
  <c r="J99" i="4"/>
  <c r="K99" i="4" s="1"/>
  <c r="L99" i="4" s="1"/>
  <c r="M99" i="4" s="1"/>
  <c r="N99" i="4" s="1"/>
  <c r="O99" i="4" s="1"/>
  <c r="I99" i="4"/>
  <c r="H99" i="4"/>
  <c r="J98" i="4"/>
  <c r="K98" i="4" s="1"/>
  <c r="L98" i="4" s="1"/>
  <c r="M98" i="4" s="1"/>
  <c r="N98" i="4" s="1"/>
  <c r="O98" i="4" s="1"/>
  <c r="I98" i="4"/>
  <c r="H98" i="4"/>
  <c r="J97" i="4"/>
  <c r="K97" i="4" s="1"/>
  <c r="L97" i="4" s="1"/>
  <c r="M97" i="4" s="1"/>
  <c r="N97" i="4" s="1"/>
  <c r="O97" i="4" s="1"/>
  <c r="I97" i="4"/>
  <c r="H97" i="4"/>
  <c r="J96" i="4"/>
  <c r="K165" i="4" s="1"/>
  <c r="I96" i="4"/>
  <c r="H96" i="4"/>
  <c r="J95" i="4"/>
  <c r="K95" i="4" s="1"/>
  <c r="L95" i="4" s="1"/>
  <c r="M95" i="4" s="1"/>
  <c r="N95" i="4" s="1"/>
  <c r="O95" i="4" s="1"/>
  <c r="I95" i="4"/>
  <c r="H95" i="4"/>
  <c r="J94" i="4"/>
  <c r="K94" i="4" s="1"/>
  <c r="L94" i="4" s="1"/>
  <c r="M94" i="4" s="1"/>
  <c r="N94" i="4" s="1"/>
  <c r="O94" i="4" s="1"/>
  <c r="I94" i="4"/>
  <c r="H94" i="4"/>
  <c r="J93" i="4"/>
  <c r="I93" i="4"/>
  <c r="H93" i="4"/>
  <c r="J86" i="4"/>
  <c r="I86" i="4"/>
  <c r="H86" i="4"/>
  <c r="J85" i="4"/>
  <c r="K85" i="4" s="1"/>
  <c r="L85" i="4" s="1"/>
  <c r="M85" i="4" s="1"/>
  <c r="N85" i="4" s="1"/>
  <c r="O85" i="4" s="1"/>
  <c r="I85" i="4"/>
  <c r="H85" i="4"/>
  <c r="J84" i="4"/>
  <c r="K84" i="4" s="1"/>
  <c r="L84" i="4" s="1"/>
  <c r="M84" i="4" s="1"/>
  <c r="N84" i="4" s="1"/>
  <c r="O84" i="4" s="1"/>
  <c r="I84" i="4"/>
  <c r="H84" i="4"/>
  <c r="J83" i="4"/>
  <c r="K83" i="4" s="1"/>
  <c r="L83" i="4" s="1"/>
  <c r="M83" i="4" s="1"/>
  <c r="N83" i="4" s="1"/>
  <c r="O83" i="4" s="1"/>
  <c r="I83" i="4"/>
  <c r="H83" i="4"/>
  <c r="J82" i="4"/>
  <c r="K82" i="4" s="1"/>
  <c r="L82" i="4" s="1"/>
  <c r="M82" i="4" s="1"/>
  <c r="N82" i="4" s="1"/>
  <c r="O82" i="4" s="1"/>
  <c r="I82" i="4"/>
  <c r="H82" i="4"/>
  <c r="J81" i="4"/>
  <c r="K81" i="4" s="1"/>
  <c r="L81" i="4" s="1"/>
  <c r="M81" i="4" s="1"/>
  <c r="N81" i="4" s="1"/>
  <c r="O81" i="4" s="1"/>
  <c r="I81" i="4"/>
  <c r="H81" i="4"/>
  <c r="J80" i="4"/>
  <c r="K80" i="4" s="1"/>
  <c r="L80" i="4" s="1"/>
  <c r="M80" i="4" s="1"/>
  <c r="I80" i="4"/>
  <c r="H80" i="4"/>
  <c r="J72" i="4"/>
  <c r="K147" i="4" s="1"/>
  <c r="I72" i="4"/>
  <c r="H72" i="4"/>
  <c r="H54" i="1" s="1"/>
  <c r="J71" i="4"/>
  <c r="I71" i="4"/>
  <c r="H71" i="4"/>
  <c r="J70" i="4"/>
  <c r="I70" i="4"/>
  <c r="H70" i="4"/>
  <c r="J64" i="4"/>
  <c r="K64" i="4" s="1"/>
  <c r="L64" i="4" s="1"/>
  <c r="M64" i="4" s="1"/>
  <c r="N64" i="4" s="1"/>
  <c r="O64" i="4" s="1"/>
  <c r="I64" i="4"/>
  <c r="H64" i="4"/>
  <c r="J63" i="4"/>
  <c r="I63" i="4"/>
  <c r="H63" i="4"/>
  <c r="J62" i="4"/>
  <c r="K62" i="4" s="1"/>
  <c r="L62" i="4" s="1"/>
  <c r="M62" i="4" s="1"/>
  <c r="N62" i="4" s="1"/>
  <c r="O62" i="4" s="1"/>
  <c r="I62" i="4"/>
  <c r="H62" i="4"/>
  <c r="J61" i="4"/>
  <c r="K61" i="4" s="1"/>
  <c r="L61" i="4" s="1"/>
  <c r="M61" i="4" s="1"/>
  <c r="N61" i="4" s="1"/>
  <c r="O61" i="4" s="1"/>
  <c r="I61" i="4"/>
  <c r="H61" i="4"/>
  <c r="J60" i="4"/>
  <c r="K60" i="4" s="1"/>
  <c r="L60" i="4" s="1"/>
  <c r="M60" i="4" s="1"/>
  <c r="N60" i="4" s="1"/>
  <c r="O60" i="4" s="1"/>
  <c r="I60" i="4"/>
  <c r="H60" i="4"/>
  <c r="J59" i="4"/>
  <c r="K59" i="4" s="1"/>
  <c r="L59" i="4" s="1"/>
  <c r="M59" i="4" s="1"/>
  <c r="N59" i="4" s="1"/>
  <c r="O59" i="4" s="1"/>
  <c r="I59" i="4"/>
  <c r="H59" i="4"/>
  <c r="J58" i="4"/>
  <c r="K58" i="4" s="1"/>
  <c r="L58" i="4" s="1"/>
  <c r="M58" i="4" s="1"/>
  <c r="N58" i="4" s="1"/>
  <c r="O58" i="4" s="1"/>
  <c r="I58" i="4"/>
  <c r="H58" i="4"/>
  <c r="J57" i="4"/>
  <c r="I57" i="4"/>
  <c r="H57" i="4"/>
  <c r="G111" i="4"/>
  <c r="G110" i="4"/>
  <c r="G109" i="4"/>
  <c r="G108" i="4"/>
  <c r="G107" i="4"/>
  <c r="G106" i="4"/>
  <c r="G105" i="4"/>
  <c r="G99" i="4"/>
  <c r="G98" i="4"/>
  <c r="G97" i="4"/>
  <c r="G96" i="4"/>
  <c r="G95" i="4"/>
  <c r="G94" i="4"/>
  <c r="G93" i="4"/>
  <c r="G86" i="4"/>
  <c r="G85" i="4"/>
  <c r="G84" i="4"/>
  <c r="G83" i="4"/>
  <c r="G82" i="4"/>
  <c r="G81" i="4"/>
  <c r="G80" i="4"/>
  <c r="G72" i="4"/>
  <c r="G54" i="1" s="1"/>
  <c r="G71" i="4"/>
  <c r="G70" i="4"/>
  <c r="G64" i="4"/>
  <c r="G63" i="4"/>
  <c r="G62" i="4"/>
  <c r="G61" i="4"/>
  <c r="G60" i="4"/>
  <c r="G59" i="4"/>
  <c r="G58" i="4"/>
  <c r="G57" i="4"/>
  <c r="J47" i="4"/>
  <c r="J34" i="1" s="1"/>
  <c r="I47" i="4"/>
  <c r="I34" i="1" s="1"/>
  <c r="H47" i="4"/>
  <c r="H34" i="1" s="1"/>
  <c r="G47" i="4"/>
  <c r="G34" i="1" s="1"/>
  <c r="J46" i="4"/>
  <c r="I46" i="4"/>
  <c r="H46" i="4"/>
  <c r="G46" i="4"/>
  <c r="J39" i="4"/>
  <c r="I39" i="4"/>
  <c r="H39" i="4"/>
  <c r="G39" i="4"/>
  <c r="J38" i="4"/>
  <c r="I38" i="4"/>
  <c r="I40" i="4" s="1"/>
  <c r="H38" i="4"/>
  <c r="G38" i="4"/>
  <c r="J32" i="4"/>
  <c r="I32" i="4"/>
  <c r="H32" i="4"/>
  <c r="G32" i="4"/>
  <c r="J31" i="4"/>
  <c r="I31" i="4"/>
  <c r="H31" i="4"/>
  <c r="G31" i="4"/>
  <c r="J30" i="4"/>
  <c r="I30" i="4"/>
  <c r="H30" i="4"/>
  <c r="G30" i="4"/>
  <c r="J29" i="4"/>
  <c r="I29" i="4"/>
  <c r="H29" i="4"/>
  <c r="G29" i="4"/>
  <c r="J24" i="4"/>
  <c r="I24" i="4"/>
  <c r="H24" i="4"/>
  <c r="G24" i="4"/>
  <c r="J23" i="4"/>
  <c r="I23" i="4"/>
  <c r="H23" i="4"/>
  <c r="G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G13" i="1" s="1"/>
  <c r="J15" i="4"/>
  <c r="J127" i="4" s="1"/>
  <c r="I15" i="4"/>
  <c r="I127" i="4" s="1"/>
  <c r="H15" i="4"/>
  <c r="H127" i="4" s="1"/>
  <c r="G15" i="4"/>
  <c r="G127" i="4" s="1"/>
  <c r="J14" i="4"/>
  <c r="J126" i="4" s="1"/>
  <c r="I14" i="4"/>
  <c r="I126" i="4" s="1"/>
  <c r="H14" i="4"/>
  <c r="H126" i="4" s="1"/>
  <c r="G14" i="4"/>
  <c r="G126" i="4" s="1"/>
  <c r="J13" i="4"/>
  <c r="I13" i="4"/>
  <c r="H13" i="4"/>
  <c r="G13" i="4"/>
  <c r="G12" i="1" s="1"/>
  <c r="J12" i="4"/>
  <c r="I12" i="4"/>
  <c r="H12" i="4"/>
  <c r="G12" i="4"/>
  <c r="J11" i="4"/>
  <c r="I11" i="4"/>
  <c r="H11" i="4"/>
  <c r="G11" i="4"/>
  <c r="J7" i="4"/>
  <c r="J17" i="4" s="1"/>
  <c r="J27" i="4" s="1"/>
  <c r="J31" i="1" s="1"/>
  <c r="I7" i="4"/>
  <c r="H7" i="4"/>
  <c r="G7" i="4"/>
  <c r="J40" i="4" l="1"/>
  <c r="K172" i="4"/>
  <c r="K31" i="4" s="1"/>
  <c r="K168" i="4"/>
  <c r="K175" i="4" s="1"/>
  <c r="G34" i="4"/>
  <c r="H34" i="4"/>
  <c r="H40" i="4"/>
  <c r="G56" i="1"/>
  <c r="J23" i="1"/>
  <c r="K170" i="4"/>
  <c r="K173" i="4" s="1"/>
  <c r="K30" i="4" s="1"/>
  <c r="H17" i="4"/>
  <c r="H27" i="4" s="1"/>
  <c r="H30" i="1" s="1"/>
  <c r="J34" i="4"/>
  <c r="J36" i="4" s="1"/>
  <c r="I17" i="4"/>
  <c r="I27" i="4" s="1"/>
  <c r="I59" i="1" s="1"/>
  <c r="J59" i="1"/>
  <c r="G40" i="4"/>
  <c r="G17" i="4"/>
  <c r="G27" i="4" s="1"/>
  <c r="G30" i="1" s="1"/>
  <c r="J30" i="1"/>
  <c r="H29" i="1"/>
  <c r="G14" i="1"/>
  <c r="I34" i="4"/>
  <c r="H134" i="4"/>
  <c r="J26" i="1"/>
  <c r="I29" i="1"/>
  <c r="H12" i="1"/>
  <c r="H13" i="1"/>
  <c r="I56" i="1"/>
  <c r="I54" i="1"/>
  <c r="H56" i="1"/>
  <c r="G23" i="1"/>
  <c r="H23" i="1"/>
  <c r="J25" i="1"/>
  <c r="J29" i="1"/>
  <c r="G29" i="1"/>
  <c r="H42" i="1"/>
  <c r="J54" i="1"/>
  <c r="I23" i="1"/>
  <c r="J24" i="1"/>
  <c r="J56" i="1"/>
  <c r="I12" i="1"/>
  <c r="I13" i="1"/>
  <c r="J12" i="1"/>
  <c r="J13" i="1"/>
  <c r="G113" i="4"/>
  <c r="I66" i="4"/>
  <c r="G151" i="4"/>
  <c r="G101" i="4"/>
  <c r="J66" i="4"/>
  <c r="J74" i="4"/>
  <c r="I88" i="4"/>
  <c r="I57" i="1" s="1"/>
  <c r="J134" i="4"/>
  <c r="G88" i="4"/>
  <c r="G57" i="1" s="1"/>
  <c r="J151" i="4"/>
  <c r="I142" i="4"/>
  <c r="G66" i="4"/>
  <c r="G74" i="4"/>
  <c r="H66" i="4"/>
  <c r="I134" i="4"/>
  <c r="J15" i="1"/>
  <c r="J88" i="4"/>
  <c r="J57" i="1" s="1"/>
  <c r="I101" i="4"/>
  <c r="H101" i="4"/>
  <c r="G134" i="4"/>
  <c r="G142" i="4"/>
  <c r="H74" i="4"/>
  <c r="J101" i="4"/>
  <c r="I113" i="4"/>
  <c r="H113" i="4"/>
  <c r="K93" i="4"/>
  <c r="G146" i="4"/>
  <c r="I151" i="4"/>
  <c r="H151" i="4"/>
  <c r="I74" i="4"/>
  <c r="H88" i="4"/>
  <c r="H57" i="1" s="1"/>
  <c r="J113" i="4"/>
  <c r="H142" i="4"/>
  <c r="J142" i="4"/>
  <c r="H146" i="4"/>
  <c r="I146" i="4"/>
  <c r="J146" i="4"/>
  <c r="N105" i="4"/>
  <c r="N80" i="4"/>
  <c r="J209" i="5"/>
  <c r="I209" i="5"/>
  <c r="J197" i="5"/>
  <c r="I197" i="5"/>
  <c r="J184" i="5"/>
  <c r="I184" i="5"/>
  <c r="J170" i="5"/>
  <c r="I170" i="5"/>
  <c r="J163" i="5"/>
  <c r="I163" i="5"/>
  <c r="H24" i="1" l="1"/>
  <c r="H31" i="1"/>
  <c r="H36" i="4"/>
  <c r="H42" i="4" s="1"/>
  <c r="H33" i="1" s="1"/>
  <c r="H25" i="1"/>
  <c r="J42" i="4"/>
  <c r="K68" i="1" s="1"/>
  <c r="K34" i="4"/>
  <c r="I28" i="1"/>
  <c r="I30" i="1"/>
  <c r="I25" i="1"/>
  <c r="I31" i="1"/>
  <c r="I24" i="1"/>
  <c r="I26" i="1"/>
  <c r="H58" i="1"/>
  <c r="H26" i="1"/>
  <c r="H59" i="1"/>
  <c r="I36" i="4"/>
  <c r="I42" i="4" s="1"/>
  <c r="I33" i="1" s="1"/>
  <c r="L165" i="4"/>
  <c r="L168" i="4" s="1"/>
  <c r="K96" i="4"/>
  <c r="G15" i="1"/>
  <c r="G24" i="1"/>
  <c r="G26" i="1"/>
  <c r="G31" i="1"/>
  <c r="G25" i="1"/>
  <c r="G36" i="4"/>
  <c r="G42" i="4" s="1"/>
  <c r="G33" i="1" s="1"/>
  <c r="H114" i="4"/>
  <c r="H115" i="4" s="1"/>
  <c r="G114" i="4"/>
  <c r="G115" i="4" s="1"/>
  <c r="G59" i="1"/>
  <c r="J14" i="1"/>
  <c r="J75" i="4"/>
  <c r="J55" i="1" s="1"/>
  <c r="J210" i="5"/>
  <c r="I75" i="4"/>
  <c r="I55" i="1" s="1"/>
  <c r="H75" i="4"/>
  <c r="H55" i="1" s="1"/>
  <c r="H14" i="1"/>
  <c r="I14" i="1"/>
  <c r="I210" i="5"/>
  <c r="I211" i="5" s="1"/>
  <c r="I149" i="4"/>
  <c r="I45" i="1"/>
  <c r="I46" i="1"/>
  <c r="I47" i="1"/>
  <c r="J58" i="1"/>
  <c r="J47" i="1"/>
  <c r="J46" i="1"/>
  <c r="J28" i="1"/>
  <c r="J27" i="1"/>
  <c r="H149" i="4"/>
  <c r="H45" i="1"/>
  <c r="G149" i="4"/>
  <c r="G45" i="1"/>
  <c r="G47" i="1"/>
  <c r="G46" i="1"/>
  <c r="K70" i="1"/>
  <c r="G107" i="1"/>
  <c r="J149" i="4"/>
  <c r="J45" i="1"/>
  <c r="H46" i="1"/>
  <c r="H47" i="1"/>
  <c r="J60" i="1"/>
  <c r="I171" i="5"/>
  <c r="I114" i="4"/>
  <c r="I115" i="4" s="1"/>
  <c r="G75" i="4"/>
  <c r="J171" i="5"/>
  <c r="J114" i="4"/>
  <c r="J115" i="4" s="1"/>
  <c r="J211" i="5"/>
  <c r="L93" i="4"/>
  <c r="K101" i="4"/>
  <c r="O105" i="4"/>
  <c r="O80" i="4"/>
  <c r="K14" i="3"/>
  <c r="K26" i="3"/>
  <c r="O133" i="4" s="1"/>
  <c r="J26" i="3"/>
  <c r="N133" i="4" s="1"/>
  <c r="I26" i="3"/>
  <c r="M133" i="4" s="1"/>
  <c r="H26" i="3"/>
  <c r="L133" i="4" s="1"/>
  <c r="G26" i="3"/>
  <c r="K20" i="3"/>
  <c r="O157" i="4" s="1"/>
  <c r="O11" i="1" s="1"/>
  <c r="J20" i="3"/>
  <c r="N157" i="4" s="1"/>
  <c r="N11" i="1" s="1"/>
  <c r="I20" i="3"/>
  <c r="M157" i="4" s="1"/>
  <c r="M11" i="1" s="1"/>
  <c r="H20" i="3"/>
  <c r="L157" i="4" s="1"/>
  <c r="L11" i="1" s="1"/>
  <c r="G20" i="3"/>
  <c r="K157" i="4" s="1"/>
  <c r="K11" i="1" s="1"/>
  <c r="J14" i="3"/>
  <c r="I14" i="3"/>
  <c r="H14" i="3"/>
  <c r="G14" i="3"/>
  <c r="K158" i="4" s="1"/>
  <c r="K8" i="3"/>
  <c r="O156" i="4" s="1"/>
  <c r="O10" i="1" s="1"/>
  <c r="J8" i="3"/>
  <c r="N156" i="4" s="1"/>
  <c r="N10" i="1" s="1"/>
  <c r="I8" i="3"/>
  <c r="M156" i="4" s="1"/>
  <c r="M10" i="1" s="1"/>
  <c r="H8" i="3"/>
  <c r="L156" i="4" s="1"/>
  <c r="L10" i="1" s="1"/>
  <c r="G8" i="3"/>
  <c r="B30" i="3"/>
  <c r="B29" i="3"/>
  <c r="B28" i="3"/>
  <c r="B24" i="3"/>
  <c r="B23" i="3"/>
  <c r="B22" i="3"/>
  <c r="B18" i="3"/>
  <c r="B17" i="3"/>
  <c r="B16" i="3"/>
  <c r="I15" i="1" l="1"/>
  <c r="I27" i="1"/>
  <c r="J33" i="1"/>
  <c r="J32" i="1"/>
  <c r="H32" i="1"/>
  <c r="J125" i="4"/>
  <c r="J128" i="4" s="1"/>
  <c r="H125" i="4"/>
  <c r="H128" i="4" s="1"/>
  <c r="I32" i="1"/>
  <c r="I58" i="1"/>
  <c r="K69" i="1"/>
  <c r="K71" i="1" s="1"/>
  <c r="G109" i="1"/>
  <c r="H15" i="1"/>
  <c r="H60" i="1"/>
  <c r="K7" i="1"/>
  <c r="K14" i="4"/>
  <c r="L158" i="4"/>
  <c r="G28" i="1"/>
  <c r="H28" i="1"/>
  <c r="H27" i="1"/>
  <c r="I125" i="4"/>
  <c r="I128" i="4" s="1"/>
  <c r="G55" i="1"/>
  <c r="G117" i="4"/>
  <c r="I60" i="1"/>
  <c r="M165" i="4"/>
  <c r="M168" i="4" s="1"/>
  <c r="L175" i="4"/>
  <c r="L96" i="4" s="1"/>
  <c r="L101" i="4" s="1"/>
  <c r="G58" i="1"/>
  <c r="G27" i="1"/>
  <c r="G32" i="1"/>
  <c r="G125" i="4"/>
  <c r="G128" i="4" s="1"/>
  <c r="J117" i="4"/>
  <c r="G60" i="1"/>
  <c r="N136" i="4"/>
  <c r="N42" i="1" s="1"/>
  <c r="N43" i="1"/>
  <c r="L136" i="4"/>
  <c r="L42" i="1" s="1"/>
  <c r="L43" i="1"/>
  <c r="M136" i="4"/>
  <c r="M42" i="1" s="1"/>
  <c r="M43" i="1"/>
  <c r="O136" i="4"/>
  <c r="O42" i="1" s="1"/>
  <c r="O43" i="1"/>
  <c r="H117" i="4"/>
  <c r="I117" i="4"/>
  <c r="K156" i="4"/>
  <c r="K10" i="1" s="1"/>
  <c r="C116" i="1"/>
  <c r="M93" i="4"/>
  <c r="K11" i="4"/>
  <c r="L11" i="4" s="1"/>
  <c r="M11" i="4" s="1"/>
  <c r="N11" i="4" s="1"/>
  <c r="O11" i="4" s="1"/>
  <c r="K133" i="4"/>
  <c r="K74" i="1" l="1"/>
  <c r="L7" i="1"/>
  <c r="L14" i="4"/>
  <c r="M158" i="4"/>
  <c r="N165" i="4"/>
  <c r="N168" i="4" s="1"/>
  <c r="M175" i="4"/>
  <c r="M96" i="4" s="1"/>
  <c r="M101" i="4" s="1"/>
  <c r="K7" i="4"/>
  <c r="L7" i="4" s="1"/>
  <c r="L23" i="1" s="1"/>
  <c r="K136" i="4"/>
  <c r="K42" i="1" s="1"/>
  <c r="K43" i="1"/>
  <c r="N93" i="4"/>
  <c r="M7" i="1" l="1"/>
  <c r="M14" i="4"/>
  <c r="N158" i="4"/>
  <c r="O165" i="4"/>
  <c r="O168" i="4" s="1"/>
  <c r="N175" i="4"/>
  <c r="N96" i="4" s="1"/>
  <c r="N101" i="4" s="1"/>
  <c r="K63" i="4"/>
  <c r="K110" i="4"/>
  <c r="M7" i="4"/>
  <c r="M110" i="4" s="1"/>
  <c r="L63" i="4"/>
  <c r="K70" i="4"/>
  <c r="K13" i="4"/>
  <c r="K12" i="1" s="1"/>
  <c r="K108" i="4"/>
  <c r="K127" i="4"/>
  <c r="L127" i="4"/>
  <c r="K20" i="4"/>
  <c r="L20" i="4"/>
  <c r="L110" i="4"/>
  <c r="L13" i="4"/>
  <c r="L12" i="1" s="1"/>
  <c r="L108" i="4"/>
  <c r="L70" i="4"/>
  <c r="K29" i="1"/>
  <c r="K111" i="4"/>
  <c r="K23" i="1"/>
  <c r="L109" i="4"/>
  <c r="K109" i="4"/>
  <c r="K71" i="4"/>
  <c r="K19" i="4"/>
  <c r="K13" i="1" s="1"/>
  <c r="L19" i="4"/>
  <c r="L13" i="1" s="1"/>
  <c r="L111" i="4"/>
  <c r="L71" i="4"/>
  <c r="O93" i="4"/>
  <c r="O158" i="4" l="1"/>
  <c r="N7" i="1"/>
  <c r="N14" i="4"/>
  <c r="O175" i="4"/>
  <c r="O96" i="4" s="1"/>
  <c r="O101" i="4" s="1"/>
  <c r="L128" i="4"/>
  <c r="K128" i="4"/>
  <c r="M70" i="4"/>
  <c r="M13" i="4"/>
  <c r="M12" i="1" s="1"/>
  <c r="M111" i="4"/>
  <c r="M71" i="4"/>
  <c r="M29" i="1"/>
  <c r="M63" i="4"/>
  <c r="M127" i="4"/>
  <c r="M20" i="4"/>
  <c r="M19" i="4"/>
  <c r="M13" i="1" s="1"/>
  <c r="M108" i="4"/>
  <c r="M109" i="4"/>
  <c r="K14" i="1"/>
  <c r="N7" i="4"/>
  <c r="N109" i="4" s="1"/>
  <c r="M23" i="1"/>
  <c r="L14" i="1"/>
  <c r="L126" i="4"/>
  <c r="L29" i="1"/>
  <c r="K57" i="4"/>
  <c r="K66" i="4" s="1"/>
  <c r="K126" i="4"/>
  <c r="K17" i="4"/>
  <c r="K27" i="4" s="1"/>
  <c r="L17" i="4"/>
  <c r="O7" i="1" l="1"/>
  <c r="O14" i="4"/>
  <c r="K152" i="4"/>
  <c r="G99" i="1" s="1"/>
  <c r="M126" i="4"/>
  <c r="N110" i="4"/>
  <c r="N111" i="4"/>
  <c r="M128" i="4"/>
  <c r="M14" i="1"/>
  <c r="N63" i="4"/>
  <c r="M17" i="4"/>
  <c r="M25" i="1" s="1"/>
  <c r="N127" i="4"/>
  <c r="N19" i="4"/>
  <c r="N13" i="1" s="1"/>
  <c r="N29" i="1"/>
  <c r="N70" i="4"/>
  <c r="N20" i="4"/>
  <c r="N71" i="4"/>
  <c r="N108" i="4"/>
  <c r="N13" i="4"/>
  <c r="N12" i="1" s="1"/>
  <c r="L57" i="4"/>
  <c r="L66" i="4" s="1"/>
  <c r="K24" i="1"/>
  <c r="L27" i="4"/>
  <c r="L152" i="4" s="1"/>
  <c r="H99" i="1" s="1"/>
  <c r="L25" i="1"/>
  <c r="L26" i="1"/>
  <c r="L24" i="1"/>
  <c r="O7" i="4"/>
  <c r="F119" i="1" s="1" a="1"/>
  <c r="F119" i="1" s="1"/>
  <c r="N23" i="1"/>
  <c r="K25" i="1"/>
  <c r="K30" i="1"/>
  <c r="K59" i="1"/>
  <c r="K31" i="1"/>
  <c r="K36" i="4"/>
  <c r="K38" i="4" s="1"/>
  <c r="K15" i="1"/>
  <c r="K26" i="1"/>
  <c r="M27" i="4" l="1"/>
  <c r="M152" i="4" s="1"/>
  <c r="I99" i="1" s="1"/>
  <c r="N128" i="4"/>
  <c r="O127" i="4"/>
  <c r="M24" i="1"/>
  <c r="M26" i="1"/>
  <c r="O19" i="4"/>
  <c r="O13" i="1" s="1"/>
  <c r="O108" i="4"/>
  <c r="D119" i="1" a="1"/>
  <c r="D119" i="1" s="1"/>
  <c r="N14" i="1"/>
  <c r="O111" i="4"/>
  <c r="O71" i="4"/>
  <c r="O110" i="4"/>
  <c r="O63" i="4"/>
  <c r="O126" i="4"/>
  <c r="N126" i="4"/>
  <c r="C119" i="1" a="1"/>
  <c r="C119" i="1" s="1"/>
  <c r="O70" i="4"/>
  <c r="O20" i="4"/>
  <c r="E119" i="1" a="1"/>
  <c r="E119" i="1" s="1"/>
  <c r="N17" i="4"/>
  <c r="N26" i="1" s="1"/>
  <c r="O13" i="4"/>
  <c r="O12" i="1" s="1"/>
  <c r="O109" i="4"/>
  <c r="M57" i="4"/>
  <c r="M66" i="4" s="1"/>
  <c r="L31" i="1"/>
  <c r="L30" i="1"/>
  <c r="K27" i="1"/>
  <c r="K73" i="1" s="1"/>
  <c r="O23" i="1"/>
  <c r="G119" i="1" a="1"/>
  <c r="G119" i="1" s="1"/>
  <c r="K28" i="1"/>
  <c r="M30" i="1" l="1"/>
  <c r="M31" i="1"/>
  <c r="M27" i="1"/>
  <c r="O17" i="4"/>
  <c r="O24" i="1" s="1"/>
  <c r="O128" i="4"/>
  <c r="O14" i="1"/>
  <c r="O29" i="1"/>
  <c r="N24" i="1"/>
  <c r="N25" i="1"/>
  <c r="N27" i="4"/>
  <c r="N57" i="4"/>
  <c r="K77" i="1"/>
  <c r="L15" i="1"/>
  <c r="L27" i="1"/>
  <c r="L28" i="1"/>
  <c r="K40" i="4"/>
  <c r="K42" i="4" s="1"/>
  <c r="K33" i="1" s="1"/>
  <c r="M28" i="1" l="1"/>
  <c r="M15" i="1"/>
  <c r="O25" i="1"/>
  <c r="O26" i="1"/>
  <c r="O27" i="4"/>
  <c r="N30" i="1"/>
  <c r="N152" i="4"/>
  <c r="J99" i="1" s="1"/>
  <c r="N31" i="1"/>
  <c r="N15" i="1"/>
  <c r="N66" i="4"/>
  <c r="O57" i="4"/>
  <c r="O66" i="4" s="1"/>
  <c r="K32" i="1"/>
  <c r="K125" i="4"/>
  <c r="K46" i="4"/>
  <c r="K47" i="4"/>
  <c r="K34" i="1" s="1"/>
  <c r="K86" i="4"/>
  <c r="K88" i="4" s="1"/>
  <c r="N28" i="1" l="1"/>
  <c r="O27" i="1"/>
  <c r="O30" i="1"/>
  <c r="O31" i="1"/>
  <c r="O152" i="4"/>
  <c r="K99" i="1" s="1"/>
  <c r="N27" i="1"/>
  <c r="K57" i="1"/>
  <c r="K130" i="4"/>
  <c r="K41" i="1" l="1"/>
  <c r="K177" i="4"/>
  <c r="K179" i="4" s="1"/>
  <c r="G104" i="1"/>
  <c r="G105" i="1" s="1"/>
  <c r="O15" i="1"/>
  <c r="O28" i="1"/>
  <c r="K151" i="4"/>
  <c r="K180" i="4" l="1"/>
  <c r="K142" i="4"/>
  <c r="K144" i="4" s="1"/>
  <c r="K47" i="1"/>
  <c r="K46" i="1"/>
  <c r="K44" i="1" l="1"/>
  <c r="K146" i="4"/>
  <c r="L178" i="4"/>
  <c r="L172" i="4" s="1"/>
  <c r="L31" i="4" s="1"/>
  <c r="L59" i="1" s="1"/>
  <c r="K107" i="4"/>
  <c r="K113" i="4" s="1"/>
  <c r="K114" i="4" s="1"/>
  <c r="K115" i="4" s="1"/>
  <c r="G102" i="1"/>
  <c r="K45" i="1" l="1"/>
  <c r="K149" i="4"/>
  <c r="K72" i="4" s="1"/>
  <c r="K58" i="1" s="1"/>
  <c r="L170" i="4" l="1"/>
  <c r="L173" i="4" s="1"/>
  <c r="L30" i="4" s="1"/>
  <c r="L34" i="4" s="1"/>
  <c r="L36" i="4" s="1"/>
  <c r="L38" i="4" s="1"/>
  <c r="L40" i="4" s="1"/>
  <c r="L42" i="4" s="1"/>
  <c r="L32" i="1" s="1"/>
  <c r="K56" i="1"/>
  <c r="K74" i="4"/>
  <c r="K75" i="4" s="1"/>
  <c r="K60" i="1"/>
  <c r="K54" i="1"/>
  <c r="L147" i="4"/>
  <c r="L46" i="4" l="1"/>
  <c r="L33" i="1"/>
  <c r="L86" i="4"/>
  <c r="L88" i="4" s="1"/>
  <c r="L57" i="1" s="1"/>
  <c r="L47" i="4"/>
  <c r="L34" i="1" s="1"/>
  <c r="L125" i="4"/>
  <c r="L130" i="4" s="1"/>
  <c r="L177" i="4" s="1"/>
  <c r="L179" i="4" s="1"/>
  <c r="K117" i="4"/>
  <c r="K55" i="1"/>
  <c r="L180" i="4" l="1"/>
  <c r="L142" i="4"/>
  <c r="L144" i="4" s="1"/>
  <c r="L44" i="1" s="1"/>
  <c r="L41" i="1"/>
  <c r="L151" i="4"/>
  <c r="L146" i="4" l="1"/>
  <c r="L45" i="1" s="1"/>
  <c r="M178" i="4"/>
  <c r="M172" i="4" s="1"/>
  <c r="M31" i="4" s="1"/>
  <c r="M59" i="1" s="1"/>
  <c r="L107" i="4"/>
  <c r="L113" i="4" s="1"/>
  <c r="L114" i="4" s="1"/>
  <c r="L115" i="4" s="1"/>
  <c r="L47" i="1"/>
  <c r="L46" i="1"/>
  <c r="H102" i="1"/>
  <c r="L149" i="4" l="1"/>
  <c r="L72" i="4" s="1"/>
  <c r="L56" i="1" s="1"/>
  <c r="M147" i="4" l="1"/>
  <c r="M170" i="4"/>
  <c r="M173" i="4" s="1"/>
  <c r="M30" i="4" s="1"/>
  <c r="M34" i="4" s="1"/>
  <c r="M36" i="4" s="1"/>
  <c r="M38" i="4" s="1"/>
  <c r="M40" i="4" s="1"/>
  <c r="L60" i="1"/>
  <c r="L54" i="1"/>
  <c r="L58" i="1"/>
  <c r="L74" i="4"/>
  <c r="L75" i="4" s="1"/>
  <c r="L117" i="4" s="1"/>
  <c r="L55" i="1" l="1"/>
  <c r="M42" i="4"/>
  <c r="M32" i="1" l="1"/>
  <c r="M47" i="4"/>
  <c r="M34" i="1" s="1"/>
  <c r="M33" i="1"/>
  <c r="M86" i="4"/>
  <c r="M88" i="4" s="1"/>
  <c r="M46" i="4"/>
  <c r="M125" i="4"/>
  <c r="M57" i="1" l="1"/>
  <c r="M130" i="4"/>
  <c r="M177" i="4" s="1"/>
  <c r="M179" i="4" s="1"/>
  <c r="M180" i="4" l="1"/>
  <c r="M142" i="4"/>
  <c r="M144" i="4" s="1"/>
  <c r="M44" i="1" s="1"/>
  <c r="M41" i="1"/>
  <c r="M151" i="4"/>
  <c r="M146" i="4" l="1"/>
  <c r="M149" i="4" s="1"/>
  <c r="M72" i="4" s="1"/>
  <c r="N178" i="4"/>
  <c r="N172" i="4" s="1"/>
  <c r="N31" i="4" s="1"/>
  <c r="N59" i="1" s="1"/>
  <c r="M107" i="4"/>
  <c r="M113" i="4" s="1"/>
  <c r="M114" i="4" s="1"/>
  <c r="M115" i="4" s="1"/>
  <c r="M46" i="1"/>
  <c r="M47" i="1"/>
  <c r="M45" i="1" l="1"/>
  <c r="M60" i="1"/>
  <c r="N170" i="4"/>
  <c r="M54" i="1"/>
  <c r="N147" i="4"/>
  <c r="M56" i="1"/>
  <c r="M74" i="4"/>
  <c r="M75" i="4" s="1"/>
  <c r="M58" i="1"/>
  <c r="I102" i="1"/>
  <c r="N173" i="4" l="1"/>
  <c r="N30" i="4" s="1"/>
  <c r="N34" i="4" s="1"/>
  <c r="N36" i="4" s="1"/>
  <c r="N38" i="4" s="1"/>
  <c r="N40" i="4" s="1"/>
  <c r="N42" i="4" s="1"/>
  <c r="N86" i="4" s="1"/>
  <c r="N88" i="4" s="1"/>
  <c r="M117" i="4"/>
  <c r="M55" i="1"/>
  <c r="N47" i="4" l="1"/>
  <c r="N34" i="1" s="1"/>
  <c r="N33" i="1"/>
  <c r="N125" i="4"/>
  <c r="N32" i="1"/>
  <c r="N46" i="4"/>
  <c r="N57" i="1"/>
  <c r="N130" i="4" l="1"/>
  <c r="N177" i="4" s="1"/>
  <c r="N179" i="4" s="1"/>
  <c r="N180" i="4" l="1"/>
  <c r="N142" i="4"/>
  <c r="N144" i="4" s="1"/>
  <c r="N44" i="1" s="1"/>
  <c r="N41" i="1"/>
  <c r="N151" i="4"/>
  <c r="N146" i="4" l="1"/>
  <c r="N149" i="4" s="1"/>
  <c r="N72" i="4" s="1"/>
  <c r="O178" i="4"/>
  <c r="O172" i="4" s="1"/>
  <c r="O31" i="4" s="1"/>
  <c r="O59" i="1" s="1"/>
  <c r="N107" i="4"/>
  <c r="N113" i="4" s="1"/>
  <c r="N114" i="4" s="1"/>
  <c r="N115" i="4" s="1"/>
  <c r="N46" i="1"/>
  <c r="N47" i="1"/>
  <c r="N45" i="1" l="1"/>
  <c r="N58" i="1"/>
  <c r="N54" i="1"/>
  <c r="N56" i="1"/>
  <c r="N60" i="1"/>
  <c r="N74" i="4"/>
  <c r="N75" i="4" s="1"/>
  <c r="O147" i="4"/>
  <c r="O170" i="4"/>
  <c r="J102" i="1"/>
  <c r="O173" i="4" l="1"/>
  <c r="O30" i="4" s="1"/>
  <c r="O34" i="4" s="1"/>
  <c r="O36" i="4" s="1"/>
  <c r="O38" i="4" s="1"/>
  <c r="O40" i="4" s="1"/>
  <c r="O42" i="4" s="1"/>
  <c r="N55" i="1"/>
  <c r="N117" i="4"/>
  <c r="O46" i="4" l="1"/>
  <c r="O125" i="4"/>
  <c r="O130" i="4" s="1"/>
  <c r="O177" i="4" s="1"/>
  <c r="O179" i="4" s="1"/>
  <c r="O33" i="1"/>
  <c r="O32" i="1"/>
  <c r="O86" i="4"/>
  <c r="O88" i="4" s="1"/>
  <c r="O47" i="4"/>
  <c r="O34" i="1" s="1"/>
  <c r="O180" i="4" l="1"/>
  <c r="O107" i="4" s="1"/>
  <c r="O113" i="4" s="1"/>
  <c r="O114" i="4" s="1"/>
  <c r="O115" i="4" s="1"/>
  <c r="O142" i="4"/>
  <c r="O144" i="4" s="1"/>
  <c r="O44" i="1" s="1"/>
  <c r="O57" i="1"/>
  <c r="O41" i="1"/>
  <c r="O151" i="4"/>
  <c r="O146" i="4" l="1"/>
  <c r="O45" i="1" s="1"/>
  <c r="O46" i="1"/>
  <c r="O47" i="1"/>
  <c r="O149" i="4" l="1"/>
  <c r="O72" i="4" s="1"/>
  <c r="O60" i="1" s="1"/>
  <c r="K102" i="1"/>
  <c r="G103" i="1" s="1"/>
  <c r="G106" i="1" s="1"/>
  <c r="G108" i="1" s="1"/>
  <c r="G110" i="1" s="1"/>
  <c r="K76" i="1" s="1"/>
  <c r="E118" i="1" a="1"/>
  <c r="E118" i="1" s="1"/>
  <c r="G118" i="1" a="1"/>
  <c r="G118" i="1" s="1"/>
  <c r="C118" i="1" a="1"/>
  <c r="C118" i="1" s="1"/>
  <c r="D118" i="1" a="1"/>
  <c r="D118" i="1" s="1"/>
  <c r="F118" i="1" a="1"/>
  <c r="F118" i="1" s="1"/>
  <c r="O58" i="1" l="1"/>
  <c r="O54" i="1"/>
  <c r="O56" i="1"/>
  <c r="O74" i="4"/>
  <c r="O75" i="4" s="1"/>
  <c r="O55" i="1" s="1"/>
  <c r="O117" i="4"/>
  <c r="F87" i="1"/>
  <c r="F88" i="1"/>
  <c r="F92" i="1"/>
  <c r="F89" i="1"/>
  <c r="F90" i="1"/>
  <c r="F86" i="1"/>
  <c r="F91" i="1"/>
  <c r="D88" i="1"/>
  <c r="D89" i="1"/>
  <c r="D92" i="1"/>
  <c r="D91" i="1"/>
  <c r="D86" i="1"/>
  <c r="D87" i="1"/>
  <c r="D90" i="1"/>
  <c r="C90" i="1"/>
  <c r="C86" i="1"/>
  <c r="C87" i="1"/>
  <c r="C89" i="1"/>
  <c r="C88" i="1"/>
  <c r="C92" i="1"/>
  <c r="C91" i="1"/>
  <c r="E86" i="1"/>
  <c r="E88" i="1"/>
  <c r="E91" i="1"/>
  <c r="E89" i="1"/>
  <c r="E90" i="1"/>
  <c r="E92" i="1"/>
  <c r="E87" i="1"/>
  <c r="G88" i="1"/>
  <c r="G89" i="1"/>
  <c r="G90" i="1"/>
  <c r="G86" i="1"/>
  <c r="G91" i="1"/>
  <c r="G87" i="1"/>
  <c r="G92" i="1"/>
  <c r="K78" i="1"/>
  <c r="K79" i="1" s="1"/>
  <c r="B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</authors>
  <commentList>
    <comment ref="K67" authorId="0" shapeId="0" xr:uid="{4B2DC7D3-18E0-4205-BD35-011F31DB4A9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Vista Energy (NYSE: VIST). Yahoo Finanzas, cierre 26-jun-2026: $64.64. https://finance.yahoo.com/quote/VIST</t>
        </r>
      </text>
    </comment>
    <comment ref="K68" authorId="0" shapeId="0" xr:uid="{16A916D1-4E99-4437-982B-82AF65D217B1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 (104,299,705 shares). https://www.sec.gov</t>
        </r>
      </text>
    </comment>
    <comment ref="B85" authorId="0" shapeId="0" xr:uid="{F8288442-12A9-46C4-9827-ACD4ACF48B4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Ancla de la tabla de sensibilidad. Debe referenciar la celda del modelo que calcula el DCF price target.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SANTUCCI</author>
    <author>Santucci, Andreas</author>
  </authors>
  <commentList>
    <comment ref="G63" authorId="0" shapeId="0" xr:uid="{A72C4BB9-D770-42D7-94B3-9F3C24AD7AE6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FY2023 (filed 2024-04-25), Consolidated Statement of Cash Flows, audited — 2022 comparative column (doc p.F-11/F-12). SEC EDGAR.</t>
        </r>
      </text>
    </comment>
    <comment ref="G92" authorId="0" shapeId="0" xr:uid="{A4C35DC2-DE24-47CD-A510-4B4452B3D83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2022: Changes in the fair value of warrants (US$30,350K per FY2023 20-F audited cash flow). Placed here so operating activities reconciles to 689,771; the model's later-year label for this row differs (no warrants line existed in later filings).</t>
        </r>
      </text>
    </comment>
    <comment ref="G141" authorId="0" shapeId="0" xr:uid="{8DE6597F-BE84-4281-AB9F-69E58E5282B7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FY2023, Consolidated Statement of Cash Flows — Significant transactions that generated no cash flows, 2022 comparative (doc p.F-12). SEC EDGAR.</t>
        </r>
      </text>
    </comment>
    <comment ref="G154" authorId="0" shapeId="0" xr:uid="{CCC53A9D-F1B1-4D93-98D0-F5E78AB90312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 (filed 2023-04-24), Item 5.A Selected Consolidated Statement of Financial Position (doc p.117-119). SEC EDGAR.</t>
        </r>
      </text>
    </comment>
    <comment ref="H154" authorId="0" shapeId="0" xr:uid="{98656CFE-B7D2-4AC8-9B1D-91043B9B132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FY2023 (filed 2024-04-25), Consolidated Statement of Financial Position, audited (doc p.F-7). SEC EDGAR.</t>
        </r>
      </text>
    </comment>
    <comment ref="G217" authorId="0" shapeId="0" xr:uid="{1DA4F3E3-B746-47FA-9BAC-2A82B6AFA2B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 (filed 2023-04-24), Item 5.A Production Results &amp; Other Operating Data (doc p.118). Average daily net production. SEC EDGAR.</t>
        </r>
      </text>
    </comment>
    <comment ref="J217" authorId="1" shapeId="0" xr:uid="{1B23679B-2C94-412D-AFBF-71F737769BC6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 Production Results &amp; Other Operating Data (doc p.120). https://www.sec.gov</t>
        </r>
      </text>
    </comment>
    <comment ref="J218" authorId="1" shapeId="0" xr:uid="{D1DEB12E-B0DC-455E-AF27-951FC741951F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 (annual avg, doc p.126 text). 2022-24 from price-trend table doc p.127. https://www.sec.gov</t>
        </r>
      </text>
    </comment>
    <comment ref="J219" authorId="1" shapeId="0" xr:uid="{747F7EF4-472F-4A38-BD5E-2017FF3EAEE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 Production Results table (doc p.120). https://www.sec.gov</t>
        </r>
      </text>
    </comment>
    <comment ref="G220" authorId="0" shapeId="0" xr:uid="{BC68FC27-53F4-4873-8F1E-4E659BD20C6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FY2022, Item 5.A Average unit costs (US$/boe): Operating expenses (doc p.118).</t>
        </r>
      </text>
    </comment>
    <comment ref="J220" authorId="1" shapeId="0" xr:uid="{B6A09132-51E1-4951-8DAF-9FB9589351B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Source: Vista Energy 20-F FY2025, Item 5.A, 'Operating costs (US$/boe)' row (doc p.120). https://www.sec.gov</t>
        </r>
      </text>
    </comment>
    <comment ref="G221" authorId="0" shapeId="0" xr:uid="{73FB6015-2B5A-44E6-935C-45174A74C80B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FY2022, Item 5.A Average unit costs (US$/boe): Royalties (doc p.118).</t>
        </r>
      </text>
    </comment>
    <comment ref="G222" authorId="0" shapeId="0" xr:uid="{7FBB947E-E21F-4DC5-BA41-FDD4693C85F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Source: Vista Energy Form 20-F FY2022, Item 5.A Average unit costs (US$/boe): DD&amp;A (doc p.118).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  <author>ANDREAS SANTUCCI</author>
  </authors>
  <commentList>
    <comment ref="C5" authorId="0" shapeId="0" xr:uid="{A52E7032-927E-4BB2-8BD6-62D68AE569B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1 = Best Case, 2 = Base Case, 3 = Worst Case</t>
        </r>
      </text>
    </comment>
    <comment ref="G12" authorId="1" shapeId="0" xr:uid="{CDDE1469-E9DA-454F-B013-F29486910D29}">
      <text>
        <r>
          <rPr>
            <b/>
            <sz val="9"/>
            <color indexed="81"/>
            <rFont val="Tahoma"/>
            <family val="2"/>
          </rPr>
          <t>ANDREAS SANTUCCI:</t>
        </r>
        <r>
          <rPr>
            <sz val="9"/>
            <color indexed="81"/>
            <rFont val="Tahoma"/>
            <family val="2"/>
          </rPr>
          <t xml:space="preserve">
Fuente: Vista Energy 20-F FY2025 — Impairment sensitivity
→ Assets resilient to -10% oil price and +10% discount rate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Santucci, Andreas</author>
    <author>ANDREAS SANTUCCI</author>
  </authors>
  <commentList>
    <comment ref="K31" authorId="0" shapeId="0" xr:uid="{81AE8AA3-481A-479F-9E77-8E3D9751D4B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L31" authorId="0" shapeId="0" xr:uid="{E2B306D4-8DC7-4E4F-B6D4-7F7509D6093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M31" authorId="0" shapeId="0" xr:uid="{5D48EF8D-C762-4264-A370-759353224BD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N31" authorId="0" shapeId="0" xr:uid="{ECFF55E0-E9DE-46DC-A2E7-536A33B094A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O31" authorId="0" shapeId="0" xr:uid="{6D75F224-D438-4464-B6A2-381BF34650E8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Pendiente: wired desde BS (deuda × tasa)</t>
        </r>
      </text>
    </comment>
    <comment ref="K46" authorId="1" shapeId="0" xr:uid="{2DE5BB61-9C2B-4FA3-A3D8-B9D735B3B07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L46" authorId="1" shapeId="0" xr:uid="{0E0D08BF-1998-4FAA-820D-0F760CF83755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M46" authorId="1" shapeId="0" xr:uid="{AD9CE77C-3984-4973-9C07-DA5381E95590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N46" authorId="1" shapeId="0" xr:uid="{38DFAD6D-C52B-4771-A595-45A80026FFE1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O46" authorId="1" shapeId="0" xr:uid="{7C09C5D3-C685-4793-A73D-8E838D6E32CD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proyectado = utilidad neta del año / acciones promedio 2025 (constantes). Supuesto coherente con el modelo, que congela capital social y reserva de recompra en el nivel 2025 en los años proyectados (flujo financiero = 0, sin emisiones ni recompras). Acciones basicas implicitas 2025 = utilidad neta 2025 / EPS basico 2025 = 719,063 / 7.015 = 102.5M.</t>
        </r>
      </text>
    </comment>
    <comment ref="K47" authorId="1" shapeId="0" xr:uid="{0F01C744-2552-4305-84CA-B39683618F84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L47" authorId="1" shapeId="0" xr:uid="{6E2CBE57-E215-4E23-AE11-AF3CB77935ED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M47" authorId="1" shapeId="0" xr:uid="{8F5975FF-E835-4722-855E-E273ECA6355F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N47" authorId="1" shapeId="0" xr:uid="{347B447F-33CF-4E87-BCFB-AEC9588DB6FA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O47" authorId="1" shapeId="0" xr:uid="{9CBAECA0-23FF-42F2-8A42-C3C49EE31B5C}">
      <text>
        <r>
          <rPr>
            <b/>
            <sz val="9"/>
            <color indexed="81"/>
            <rFont val="Tahoma"/>
            <charset val="1"/>
          </rPr>
          <t>ANDREAS SANTUCCI:</t>
        </r>
        <r>
          <rPr>
            <sz val="9"/>
            <color indexed="81"/>
            <rFont val="Tahoma"/>
            <charset val="1"/>
          </rPr>
          <t xml:space="preserve">
EPS diluido proyectado = utilidad neta / acciones diluidas promedio 2025 constantes. Diluidas implicitas 2025 = 719,063 / 6.707 = 107.2M.</t>
        </r>
      </text>
    </comment>
    <comment ref="K57" authorId="0" shapeId="0" xr:uid="{D80E81BC-DC71-403E-BA71-849E4B949E7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L57" authorId="0" shapeId="0" xr:uid="{794C9A0B-D395-46CA-910E-D3AAFFF8659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M57" authorId="0" shapeId="0" xr:uid="{FACE598D-13B5-4227-9635-043DF118E88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N57" authorId="0" shapeId="0" xr:uid="{7F163EB1-A42C-4F37-9488-907487DDE1D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O57" authorId="0" shapeId="0" xr:uid="{9AEFF32A-3F3F-4CC8-8ECC-0CD447F51DED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PP&amp;E = prior + CapEx (driver, $M→$K) − D&amp;A</t>
        </r>
      </text>
    </comment>
    <comment ref="K72" authorId="0" shapeId="0" xr:uid="{8516F1D9-C249-407C-BF0D-BEB1DFEF8D2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L72" authorId="0" shapeId="0" xr:uid="{B60FDAD5-F9BE-4F3F-93CB-59E93C80FB8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M72" authorId="0" shapeId="0" xr:uid="{5AD5F1E2-F359-4141-848C-6AE5039C0060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N72" authorId="0" shapeId="0" xr:uid="{8DF5D578-C65B-42ED-86F1-A46706B4A5D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O72" authorId="0" shapeId="0" xr:uid="{0F5D20C3-AC86-45B7-8C71-78965F7EC954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Cash = plug (Total E&amp;L − otros activos)</t>
        </r>
      </text>
    </comment>
    <comment ref="K86" authorId="0" shapeId="0" xr:uid="{610E4D46-A358-440C-A091-08A55305CB9A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L86" authorId="0" shapeId="0" xr:uid="{85993978-9CD0-459B-9C1C-3959B461335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M86" authorId="0" shapeId="0" xr:uid="{EAE81AB2-7833-43FC-8AE8-A1EDB9268492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N86" authorId="0" shapeId="0" xr:uid="{93E44CC2-C030-46A9-818E-6CF127D30C59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O86" authorId="0" shapeId="0" xr:uid="{FD587EEF-B75E-4560-86D7-D5C142BF9C4B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Accumulated profit = prior + Net Income</t>
        </r>
      </text>
    </comment>
    <comment ref="K128" authorId="0" shapeId="0" xr:uid="{8B8A7A15-B144-4E90-B256-EFE914ECAA59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L128" authorId="0" shapeId="0" xr:uid="{775367E6-ED36-43B6-811D-73462BFFF1FE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M128" authorId="0" shapeId="0" xr:uid="{38DC118A-F837-4092-8646-86F0F3968161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N128" authorId="0" shapeId="0" xr:uid="{38DD02C5-8FA7-4F50-A86F-98485C8ECA50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O128" authorId="0" shapeId="0" xr:uid="{555BEC2F-46E2-41B2-A1E1-2176FC92158B}">
      <text>
        <r>
          <rPr>
            <b/>
            <sz val="9"/>
            <color indexed="81"/>
            <rFont val="Tahoma"/>
            <family val="2"/>
          </rPr>
          <t>Plug: WC &amp; other = BS Cash EOY − BOY − Net Inc − D&amp;A − Other NC − CapEx</t>
        </r>
      </text>
    </comment>
    <comment ref="K133" authorId="0" shapeId="0" xr:uid="{F9ECB432-8ACE-45D3-BCCF-C95D19706B17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L133" authorId="0" shapeId="0" xr:uid="{90BEC457-334E-4C3F-8848-6E2A9D951F4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M133" authorId="0" shapeId="0" xr:uid="{EE6E229E-545E-4327-88FC-353576FFD27F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N133" authorId="0" shapeId="0" xr:uid="{18780A98-A3A8-4E44-BE9B-2722ABA52C30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  <comment ref="O133" authorId="0" shapeId="0" xr:uid="{46EF5E28-1493-4392-8E93-3CD8902CF0C3}">
      <text>
        <r>
          <rPr>
            <b/>
            <sz val="9"/>
            <color indexed="81"/>
            <rFont val="Tahoma"/>
            <family val="2"/>
          </rPr>
          <t>Santucci, Andreas:</t>
        </r>
        <r>
          <rPr>
            <sz val="9"/>
            <color indexed="81"/>
            <rFont val="Tahoma"/>
            <family val="2"/>
          </rPr>
          <t xml:space="preserve">
CapEx from Drivers ($M × 1000 = $K)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<sst xmlns="http://schemas.openxmlformats.org/spreadsheetml/2006/main" count="578" uniqueCount="351">
  <si>
    <t>OPERATIONAL METRICS</t>
  </si>
  <si>
    <t>Production</t>
  </si>
  <si>
    <t>Oil production</t>
  </si>
  <si>
    <t>Realized oil price</t>
  </si>
  <si>
    <t>Lifting cost</t>
  </si>
  <si>
    <t>Selling expenses</t>
  </si>
  <si>
    <t>Total cost per boe</t>
  </si>
  <si>
    <t>EBITDA per boe</t>
  </si>
  <si>
    <t>boe/d</t>
  </si>
  <si>
    <t>bbl/d</t>
  </si>
  <si>
    <t>$/bbl</t>
  </si>
  <si>
    <t>$/boe</t>
  </si>
  <si>
    <t>#</t>
  </si>
  <si>
    <t>INCOME STATEMENT</t>
  </si>
  <si>
    <t>Revenue</t>
  </si>
  <si>
    <t>Cost of sales</t>
  </si>
  <si>
    <t>Gross Profit</t>
  </si>
  <si>
    <t xml:space="preserve">  Gross Margin</t>
  </si>
  <si>
    <t>Adjusted EBITDA</t>
  </si>
  <si>
    <t xml:space="preserve">  EBITDA Margin</t>
  </si>
  <si>
    <t>D&amp;A</t>
  </si>
  <si>
    <t>EBIT</t>
  </si>
  <si>
    <t xml:space="preserve">  EBIT Margin</t>
  </si>
  <si>
    <t>Net Income</t>
  </si>
  <si>
    <t xml:space="preserve">  Net Income Margin</t>
  </si>
  <si>
    <t>EPS diluted</t>
  </si>
  <si>
    <t>$M</t>
  </si>
  <si>
    <t>%</t>
  </si>
  <si>
    <t>$/share</t>
  </si>
  <si>
    <t>CASH FLOW STATEMENT</t>
  </si>
  <si>
    <t>Cash from Operations</t>
  </si>
  <si>
    <t>Cash from Investing</t>
  </si>
  <si>
    <t xml:space="preserve">  of which CapEx</t>
  </si>
  <si>
    <t>Cash from Financing</t>
  </si>
  <si>
    <t>Change in Cash</t>
  </si>
  <si>
    <t xml:space="preserve">  FCF Margin</t>
  </si>
  <si>
    <t>BALANCE SHEET SUMMARY</t>
  </si>
  <si>
    <t>Cash &amp; equivalents</t>
  </si>
  <si>
    <t>Total assets</t>
  </si>
  <si>
    <t>Net debt</t>
  </si>
  <si>
    <t>Total equity</t>
  </si>
  <si>
    <t>Net Debt / EBITDA</t>
  </si>
  <si>
    <t>Interest coverage</t>
  </si>
  <si>
    <t>ROACE</t>
  </si>
  <si>
    <t>x</t>
  </si>
  <si>
    <t>VALUATION SUMMARY</t>
  </si>
  <si>
    <t>Share price (current)</t>
  </si>
  <si>
    <t>Shares outstanding</t>
  </si>
  <si>
    <t>Market cap</t>
  </si>
  <si>
    <t>Enterprise Value</t>
  </si>
  <si>
    <t>EV/EBITDA (2026E)</t>
  </si>
  <si>
    <t>EV/BOE/día (2026E)</t>
  </si>
  <si>
    <t>DCF price target</t>
  </si>
  <si>
    <t>Comps price target</t>
  </si>
  <si>
    <t>Blended price target</t>
  </si>
  <si>
    <t>Upside / Downside</t>
  </si>
  <si>
    <t>M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</si>
  <si>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</si>
  <si>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</si>
  <si>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</si>
  <si>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</si>
  <si>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</si>
  <si>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</si>
  <si>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</si>
  <si>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</si>
  <si>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</si>
  <si>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SENSITIVITY ANALYSIS</t>
  </si>
  <si>
    <t>DRIVERS</t>
  </si>
  <si>
    <t>Driver Switch</t>
  </si>
  <si>
    <t>Brent Price ($/bbl)</t>
  </si>
  <si>
    <t>Best Case</t>
  </si>
  <si>
    <t>Base Case</t>
  </si>
  <si>
    <t>Worst Case</t>
  </si>
  <si>
    <t>Production Growth (% YoY)</t>
  </si>
  <si>
    <t>Lifting Cost ($/boe)</t>
  </si>
  <si>
    <t>CapEx ($M)</t>
  </si>
  <si>
    <t>Amounts expressed in thousands of US Dollars</t>
  </si>
  <si>
    <t>Revenue from contracts with customers</t>
  </si>
  <si>
    <t xml:space="preserve">  Operating costs</t>
  </si>
  <si>
    <t xml:space="preserve">  Crude oil stock fluctuation</t>
  </si>
  <si>
    <t xml:space="preserve">  Royalties and others</t>
  </si>
  <si>
    <t xml:space="preserve">  Depreciation, depletion and amortization</t>
  </si>
  <si>
    <t xml:space="preserve">  Other non-cash costs</t>
  </si>
  <si>
    <t>Gross profit</t>
  </si>
  <si>
    <t>General and administrative expenses</t>
  </si>
  <si>
    <t>Exploration expenses</t>
  </si>
  <si>
    <t>Other operating income</t>
  </si>
  <si>
    <t>Other operating expenses</t>
  </si>
  <si>
    <t>Impairment of long-lived assets</t>
  </si>
  <si>
    <t>Income (loss) from investments in associates</t>
  </si>
  <si>
    <t>Interest income</t>
  </si>
  <si>
    <t>Interest expense</t>
  </si>
  <si>
    <t>Other financial income (expense)</t>
  </si>
  <si>
    <t>Financial income (expense), net</t>
  </si>
  <si>
    <t>Profit before income tax</t>
  </si>
  <si>
    <t>Current income tax (expense)</t>
  </si>
  <si>
    <t>Deferred income tax (expense) benefit</t>
  </si>
  <si>
    <t>Income tax (expense)</t>
  </si>
  <si>
    <t>Profit for the year, net</t>
  </si>
  <si>
    <t>Other comprehensive income</t>
  </si>
  <si>
    <t xml:space="preserve">  Actuarial remeasurement</t>
  </si>
  <si>
    <t xml:space="preserve">  Deferred income tax on OCI</t>
  </si>
  <si>
    <t>Other comprehensive income for the year</t>
  </si>
  <si>
    <t>Total comprehensive profit for the year</t>
  </si>
  <si>
    <t>Earnings per share</t>
  </si>
  <si>
    <t xml:space="preserve">  Basic (USD per share)</t>
  </si>
  <si>
    <t xml:space="preserve">  Diluted (USD per share)</t>
  </si>
  <si>
    <t>Cash flows from operating activities:</t>
  </si>
  <si>
    <t>Adjustments to reconcile net cash flows</t>
  </si>
  <si>
    <t>Items related to operating activities:</t>
  </si>
  <si>
    <t xml:space="preserve">  Allowance for expected credit losses</t>
  </si>
  <si>
    <t xml:space="preserve">  Share-based payments</t>
  </si>
  <si>
    <t xml:space="preserve">  Net increase in provisions</t>
  </si>
  <si>
    <t xml:space="preserve">  Net changes in foreign exchange rate</t>
  </si>
  <si>
    <t xml:space="preserve">  Discount of assets and liabilities at present value</t>
  </si>
  <si>
    <t xml:space="preserve">  Discount for well plugging and abandonment</t>
  </si>
  <si>
    <t xml:space="preserve">  Income tax expense</t>
  </si>
  <si>
    <t xml:space="preserve">  Other non-cash costs related to the transfer of conventional assets</t>
  </si>
  <si>
    <t xml:space="preserve">  Employee benefits</t>
  </si>
  <si>
    <t>Items related to investing activities:</t>
  </si>
  <si>
    <t xml:space="preserve">  Impairment of long-lived assets</t>
  </si>
  <si>
    <t xml:space="preserve">  Gain from Business Combination</t>
  </si>
  <si>
    <t xml:space="preserve">  Interest income</t>
  </si>
  <si>
    <t xml:space="preserve">  Changes in the fair value of financial assets</t>
  </si>
  <si>
    <t xml:space="preserve">  Depreciation and depletion</t>
  </si>
  <si>
    <t xml:space="preserve">  Amortization of intangible assets</t>
  </si>
  <si>
    <t xml:space="preserve">  Income (loss) from investment in associates</t>
  </si>
  <si>
    <t xml:space="preserve">  Gain related to the transfer of conventional assets</t>
  </si>
  <si>
    <t xml:space="preserve">  Gain from farmout agreement</t>
  </si>
  <si>
    <t>Items related to financing activities:</t>
  </si>
  <si>
    <t xml:space="preserve">  Interest expense</t>
  </si>
  <si>
    <t xml:space="preserve">  Amortized cost</t>
  </si>
  <si>
    <t xml:space="preserve">  Interest expense on lease liabilities</t>
  </si>
  <si>
    <t xml:space="preserve">  Other taxes interest</t>
  </si>
  <si>
    <t xml:space="preserve">  Other financial income (expense)</t>
  </si>
  <si>
    <t xml:space="preserve">  Remeasurement in borrowings</t>
  </si>
  <si>
    <t>Changes in working capital:</t>
  </si>
  <si>
    <t xml:space="preserve">  Trade and other receivables</t>
  </si>
  <si>
    <t xml:space="preserve">  Inventories</t>
  </si>
  <si>
    <t xml:space="preserve">  Trade and other payables</t>
  </si>
  <si>
    <t xml:space="preserve">  Payments of employee benefits</t>
  </si>
  <si>
    <t xml:space="preserve">  Salaries and payroll taxes</t>
  </si>
  <si>
    <t xml:space="preserve">  Other taxes and royalties</t>
  </si>
  <si>
    <t xml:space="preserve">  Provisions</t>
  </si>
  <si>
    <t xml:space="preserve">  Income tax payment</t>
  </si>
  <si>
    <t>Net cash flows provided by operating activities</t>
  </si>
  <si>
    <t>Cash flows from investing activities:</t>
  </si>
  <si>
    <t xml:space="preserve">  Payments for acquisitions of property, plant and equipment and biological assets</t>
  </si>
  <si>
    <t xml:space="preserve">  Interest received</t>
  </si>
  <si>
    <t xml:space="preserve">  Payments for acquisitions of other intangible assets</t>
  </si>
  <si>
    <t xml:space="preserve">  Proceeds from the transfer of conventional assets</t>
  </si>
  <si>
    <t xml:space="preserve">  Payments for investments in associates</t>
  </si>
  <si>
    <t xml:space="preserve">  Payment for Business Combination, net of cash acquired</t>
  </si>
  <si>
    <t xml:space="preserve">  Proceeds from farmout agreement</t>
  </si>
  <si>
    <t xml:space="preserve">  Prepayment of leases</t>
  </si>
  <si>
    <t xml:space="preserve">  Payments for the acquisition of AFBN assets</t>
  </si>
  <si>
    <t>Net cash flows (used in) investing activities</t>
  </si>
  <si>
    <t>Cash flows from financing activities:</t>
  </si>
  <si>
    <t xml:space="preserve">  Proceeds from borrowings</t>
  </si>
  <si>
    <t xml:space="preserve">  Payment of borrowings principal</t>
  </si>
  <si>
    <t xml:space="preserve">  Payment of borrowings interest</t>
  </si>
  <si>
    <t xml:space="preserve">  Payment of borrowings cost</t>
  </si>
  <si>
    <t xml:space="preserve">  Payments of other taxes interest</t>
  </si>
  <si>
    <t xml:space="preserve">  Payments of other financial results</t>
  </si>
  <si>
    <t xml:space="preserve">  Payment of lease</t>
  </si>
  <si>
    <t xml:space="preserve">  Share repurchase</t>
  </si>
  <si>
    <t>Net cash flows provided by financing activities</t>
  </si>
  <si>
    <t>Net (decrease) increase in cash and cash equivalents</t>
  </si>
  <si>
    <t>Cash and cash equivalents at beginning of year</t>
  </si>
  <si>
    <t>Effect of exposure to changes in the foreign currency rate and other financial results of cash and cash equivalents</t>
  </si>
  <si>
    <t>Cash and cash equivalents at end of year</t>
  </si>
  <si>
    <t>Significant transactions that generated no cash flows</t>
  </si>
  <si>
    <t xml:space="preserve">  Acquisition of Vista Lach through the issuance of Series A shares and an increase in trade and other payables</t>
  </si>
  <si>
    <t xml:space="preserve">  Acquisition of property, plant and equipment through increase in trade and other payables</t>
  </si>
  <si>
    <t xml:space="preserve">  Acquisition of property, plant and equipment through increase in trade and other payables, related to the Farmout Agreement</t>
  </si>
  <si>
    <t xml:space="preserve">  Changes in well plugging and abandonment with an impact in property, plant and equipment</t>
  </si>
  <si>
    <t xml:space="preserve">  Disposal for transfer of conventional assets through increase in trade and other receivables</t>
  </si>
  <si>
    <t>BALANCE SHEET</t>
  </si>
  <si>
    <t>Assets</t>
  </si>
  <si>
    <t>Noncurrent assets</t>
  </si>
  <si>
    <t xml:space="preserve">  Property, plant and equipment</t>
  </si>
  <si>
    <t xml:space="preserve">  Goodwill</t>
  </si>
  <si>
    <t xml:space="preserve">  Other intangible assets</t>
  </si>
  <si>
    <t xml:space="preserve">  Right-of-use assets</t>
  </si>
  <si>
    <t xml:space="preserve">  Biological assets</t>
  </si>
  <si>
    <t xml:space="preserve">  Investments in associates</t>
  </si>
  <si>
    <t xml:space="preserve">  Deferred income tax assets</t>
  </si>
  <si>
    <t>Total noncurrent assets</t>
  </si>
  <si>
    <t>Current assets</t>
  </si>
  <si>
    <t xml:space="preserve">  Cash, bank balances and other short-term investments</t>
  </si>
  <si>
    <t>Total current assets</t>
  </si>
  <si>
    <t>Equity and liabilities</t>
  </si>
  <si>
    <t>Equity</t>
  </si>
  <si>
    <t xml:space="preserve">  Capital stock</t>
  </si>
  <si>
    <t xml:space="preserve">  Other equity instruments</t>
  </si>
  <si>
    <t xml:space="preserve">  Legal reserve</t>
  </si>
  <si>
    <t xml:space="preserve">  Share repurchase reserve</t>
  </si>
  <si>
    <t xml:space="preserve">  Other accumulated comprehensive income (losses)</t>
  </si>
  <si>
    <t xml:space="preserve">  Accumulated profit (losses)</t>
  </si>
  <si>
    <t>Liabilities</t>
  </si>
  <si>
    <t>Noncurrent liabilities</t>
  </si>
  <si>
    <t xml:space="preserve">  Deferred income tax liabilities</t>
  </si>
  <si>
    <t xml:space="preserve">  Lease liabilities</t>
  </si>
  <si>
    <t xml:space="preserve">  Borrowings</t>
  </si>
  <si>
    <t xml:space="preserve">  Income tax liability</t>
  </si>
  <si>
    <t>Total noncurrent liabilities</t>
  </si>
  <si>
    <t>Current liabilities</t>
  </si>
  <si>
    <t>Total current liabilities</t>
  </si>
  <si>
    <t>Total liabilities</t>
  </si>
  <si>
    <t>Total equity and liabilities</t>
  </si>
  <si>
    <t>INCOME STATEMENT (P&amp;L)</t>
  </si>
  <si>
    <t>Operating profit (EBIT)</t>
  </si>
  <si>
    <t>EBIT / Operating profit</t>
  </si>
  <si>
    <t xml:space="preserve">  Trade and other receivables (NC)</t>
  </si>
  <si>
    <t xml:space="preserve">  Lease liabilities (NC)</t>
  </si>
  <si>
    <t xml:space="preserve">  Provisions (NC)</t>
  </si>
  <si>
    <t xml:space="preserve">  Borrowings (NC)</t>
  </si>
  <si>
    <t xml:space="preserve">  Income tax liability (NC)</t>
  </si>
  <si>
    <t xml:space="preserve">  Trade and other payables (NC)</t>
  </si>
  <si>
    <t xml:space="preserve">  Provisions (C)</t>
  </si>
  <si>
    <t xml:space="preserve">  Lease liabilities (C)</t>
  </si>
  <si>
    <t xml:space="preserve">  Borrowings (C)</t>
  </si>
  <si>
    <t xml:space="preserve">  Income tax liability (C)</t>
  </si>
  <si>
    <t xml:space="preserve">  Trade and other payables (C)</t>
  </si>
  <si>
    <t>BS CHECK (must = 0)</t>
  </si>
  <si>
    <t xml:space="preserve">  Profit for the year, net</t>
  </si>
  <si>
    <t xml:space="preserve">  D&amp;A addback</t>
  </si>
  <si>
    <t xml:space="preserve">  Other non-cash addback</t>
  </si>
  <si>
    <t xml:space="preserve">  Working capital &amp; other changes</t>
  </si>
  <si>
    <t>Net cash flows from operating activities (CFO)</t>
  </si>
  <si>
    <t xml:space="preserve">  Capital expenditures (CapEx)</t>
  </si>
  <si>
    <t xml:space="preserve">  Other investing activities</t>
  </si>
  <si>
    <t>Net cash flows from investing activities (CFI)</t>
  </si>
  <si>
    <t xml:space="preserve">  Repayment of borrowings</t>
  </si>
  <si>
    <t xml:space="preserve">  Other financing activities</t>
  </si>
  <si>
    <t>Net cash flows from financing activities (CFF)</t>
  </si>
  <si>
    <t>Net change in cash</t>
  </si>
  <si>
    <t>Cash at beginning of year</t>
  </si>
  <si>
    <t>FX effect on cash</t>
  </si>
  <si>
    <t>Cash at end of year</t>
  </si>
  <si>
    <t>Free Cash Flow (FCF)</t>
  </si>
  <si>
    <t>Operating &amp; price data (actual units)</t>
  </si>
  <si>
    <t>Average daily production (boe/d)</t>
  </si>
  <si>
    <t>Brent crude oil price ($/bbl)</t>
  </si>
  <si>
    <t>Realized oil price ($/bbl)</t>
  </si>
  <si>
    <t>Lifting cost / Operating costs ($/boe)</t>
  </si>
  <si>
    <t>Royalties ($/boe)</t>
  </si>
  <si>
    <t>Depreciation, depletion &amp; amortization ($/boe)</t>
  </si>
  <si>
    <t>OPERATING DRIVERS (Historical + Projected)</t>
  </si>
  <si>
    <t>Lifting cost ($/boe)</t>
  </si>
  <si>
    <t>DCF CALCULATION</t>
  </si>
  <si>
    <t>WACC</t>
  </si>
  <si>
    <t>Exit multiple (EV/EBITDA)</t>
  </si>
  <si>
    <t>Discount period</t>
  </si>
  <si>
    <t>Discount factor</t>
  </si>
  <si>
    <t>PV of Free Cash Flow ($M)</t>
  </si>
  <si>
    <t>Comps EV/EBITDA mult</t>
  </si>
  <si>
    <t>Sum PV of FCF ($M)</t>
  </si>
  <si>
    <t>Terminal value (EBITDA 2030E × mult) ($M)</t>
  </si>
  <si>
    <t>PV of terminal value ($M)</t>
  </si>
  <si>
    <t>Enterprise Value ($M)</t>
  </si>
  <si>
    <t>Less: Net debt (2025A) ($M)</t>
  </si>
  <si>
    <t>Equity Value ($M)</t>
  </si>
  <si>
    <t>Shares outstanding (M)</t>
  </si>
  <si>
    <t>DCF value per share ($)</t>
  </si>
  <si>
    <t>$/boe/d</t>
  </si>
  <si>
    <t>SENSITIVITY ENGINE (Brent × WACC)</t>
  </si>
  <si>
    <t>Incremental EBITDA margin on Brent revenue</t>
  </si>
  <si>
    <t>Tax rate</t>
  </si>
  <si>
    <t>PV of base FCF ($M)</t>
  </si>
  <si>
    <t>PV of base Revenue ($M)</t>
  </si>
  <si>
    <t>Discount factor year 5</t>
  </si>
  <si>
    <t>Brent reference ($/bbl, = active 2026E)</t>
  </si>
  <si>
    <t>VISTA ENERGY, S.A.B. de C.V.</t>
  </si>
  <si>
    <t>Integrated Financial Model  ·  DCF &amp; Comparable Valuation</t>
  </si>
  <si>
    <t>NYSE: VIST   |   BMV: VISTA   |   Oil &amp; Gas E&amp;P — Vaca Muerta, Argentina</t>
  </si>
  <si>
    <t>Prepared by:</t>
  </si>
  <si>
    <t>Andreas Santucci</t>
  </si>
  <si>
    <t>Date:</t>
  </si>
  <si>
    <t>June – July 2026</t>
  </si>
  <si>
    <t>Currency:</t>
  </si>
  <si>
    <t>US$ in thousands, unless otherwise noted</t>
  </si>
  <si>
    <t>Fiscal year end:</t>
  </si>
  <si>
    <t>TABLE OF CONTENTS</t>
  </si>
  <si>
    <t>SHEET</t>
  </si>
  <si>
    <t>DESCRIPTION</t>
  </si>
  <si>
    <t>Outputs</t>
  </si>
  <si>
    <t>Model</t>
  </si>
  <si>
    <t>Integrated 3-statement model (Income Statement, Balance Sheet, Cash Flow), 2022A–2030E, with operating drivers.</t>
  </si>
  <si>
    <t>Imputs Drivers</t>
  </si>
  <si>
    <t>Forecast assumptions — Brent price scenarios (Best / Base / Worst) and production growth.</t>
  </si>
  <si>
    <t>Imput Historical</t>
  </si>
  <si>
    <t>Historical financials 2022–2025, sourced from SEC EDGAR 20-F filings (audited).</t>
  </si>
  <si>
    <t>COLOR LEGEND</t>
  </si>
  <si>
    <t>Blue = inputs / hardcoded assumptions</t>
  </si>
  <si>
    <t>Black = formulas / calculations</t>
  </si>
  <si>
    <t>Green = links to other worksheets</t>
  </si>
  <si>
    <t>DATA SOURCES</t>
  </si>
  <si>
    <t>SEC EDGAR — Vista Energy Form 20-F (FY2022, FY2023, FY2025), audited financial statements. Market data as of June 2026.</t>
  </si>
  <si>
    <t>Disclaimer: Educational and illustrative purposes only; not investment advice or a recommendation.</t>
  </si>
  <si>
    <t>December 31</t>
  </si>
  <si>
    <t>Operating &amp; financial KPIs, valuation summary, DCF and sensitivity analysis.</t>
  </si>
  <si>
    <t>Red = links to external files / sources</t>
  </si>
  <si>
    <t>Yellow fill = key assumption to review / update</t>
  </si>
  <si>
    <t>FINANCIAL &amp; TAX ASSUMPTIONS</t>
  </si>
  <si>
    <t>(applied to all scenarios)</t>
  </si>
  <si>
    <t>Interest rate on gross debt (%)</t>
  </si>
  <si>
    <t>Interest rate earned on cash (%)</t>
  </si>
  <si>
    <t>Effective tax rate (%)</t>
  </si>
  <si>
    <t>Debt repayment ($M)</t>
  </si>
  <si>
    <t>New borrowings ($M)</t>
  </si>
  <si>
    <t>Sources / basis for the assumptions above:</t>
  </si>
  <si>
    <t>Interest rate 7.5% ≈ implied 2025A rate (interest expense 163,356 / average gross debt 2,301,322 = 7.1%). Source: Imput Historical rows 30, 192, 203.</t>
  </si>
  <si>
    <t>Effective tax rate 30.0% vs. historical 37.8% / 27.2% / 19.2% / 28.4% (2022–2025 avg 28.2%); Argentine statutory rate is 35%. Source: Imput Historical rows 35, 39.</t>
  </si>
  <si>
    <t>Debt repayment $350M/yr = 2025A current portion of borrowings (350,095 k); new borrowings set to zero. Source: Imput Historical row 203.</t>
  </si>
  <si>
    <t>DEBT &amp; INTEREST SCHEDULE</t>
  </si>
  <si>
    <t>Amounts expressed in thousands of US Dollars. Interest is calculated on opening balances to keep the model free of circular references.</t>
  </si>
  <si>
    <t>Gross debt — opening</t>
  </si>
  <si>
    <t xml:space="preserve">  New borrowings</t>
  </si>
  <si>
    <t>Gross debt — closing</t>
  </si>
  <si>
    <t>Cash — opening</t>
  </si>
  <si>
    <t>Interest expense on debt</t>
  </si>
  <si>
    <t>Interest income on cash</t>
  </si>
  <si>
    <t>Debt due within 12 months (next-year repayment)</t>
  </si>
  <si>
    <t>Unlevered Free Cash Flow (UFCF, for DCF)</t>
  </si>
  <si>
    <t>Unlevered Free Cash Flow ($M)</t>
  </si>
  <si>
    <t>Free Cash Flow (levered)</t>
  </si>
  <si>
    <t>Minimum cash balance ($M)</t>
  </si>
  <si>
    <t>Cash before revolver</t>
  </si>
  <si>
    <t>Revolver — opening</t>
  </si>
  <si>
    <t xml:space="preserve">  Drawdown / (repayment)</t>
  </si>
  <si>
    <t>Revolver — closing</t>
  </si>
  <si>
    <t xml:space="preserve">  Interest on borrowings (included in CFO)</t>
  </si>
  <si>
    <t>DD&amp;A rate ($/boe)</t>
  </si>
  <si>
    <t>DD&amp;A rate $17.5/boe = 2025A implied rate (historical: 13.3 / 14.8 / 17.2 / 17.5). Source: Imput Historical row 222. Depletion is now volume-driven, not price-driven.</t>
  </si>
  <si>
    <t>Minimum cash $200M: below this level the model draws on a revolver (Model rows 176–179); excess cash above it repays the revolver first.</t>
  </si>
  <si>
    <t>Adjusted EBITDA (excl. other operating income / expenses)</t>
  </si>
  <si>
    <t>PRODUCTION DETAIL (per FY2025 Form 20-F, "Production Results and Other Operating Data")</t>
  </si>
  <si>
    <t>Source: Vista Energy, S.A.B. de C.V., Form 20-F for fiscal year 2025, filed with the SEC. The FY2025 filing discloses 2023–2025 only; 2022 detail is not available in this document.</t>
  </si>
  <si>
    <t>Oil production (MMbbl)</t>
  </si>
  <si>
    <t>Natural gas production (Bcf)</t>
  </si>
  <si>
    <t>Days in year</t>
  </si>
  <si>
    <t>Net wells tied-in (#)</t>
  </si>
  <si>
    <t>Oil production (bbl/d)</t>
  </si>
  <si>
    <t>Gas &amp; NGL production (boe/d)</t>
  </si>
  <si>
    <t>Oil as % of total production</t>
  </si>
  <si>
    <t>Gas &amp; NGL includes natural gas and NGL so that oil + gas ties to total production of row 217. Oil share disclosed in the FY2025 20-F for 2025: 86.7%.</t>
  </si>
  <si>
    <t>Gas &amp; NGL production</t>
  </si>
  <si>
    <t>Royalties &amp; export duties</t>
  </si>
  <si>
    <t>Net wells tied-in</t>
  </si>
  <si>
    <t>Oil / gas split and wells tied-in per FY2025 Form 20-F, which discloses 2023–2025 only. Forecast split holds the 2025 oil mix of 86.6% constant. Source data: Imput Historical rows 224–235.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</si>
</sst>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#,##0_)_%;\(#,##0\)_%;_(&quot;–&quot;_)_%;_(@_)_%"/>
    <numFmt numFmtId="165" formatCode="&quot;$&quot;#,##0"/>
    <numFmt numFmtId="166" formatCode="0.0"/>
    <numFmt numFmtId="167" formatCode="#,##0;\(#,##0\);&quot;-&quot;"/>
    <numFmt numFmtId="168" formatCode="0.000"/>
    <numFmt numFmtId="169" formatCode="0.0;\(0.0\);&quot;-&quot;"/>
    <numFmt numFmtId="170" formatCode="0.0%;\(0.0%\);&quot;-&quot;"/>
    <numFmt numFmtId="171" formatCode="0.0&quot;x&quot;;\(0.0&quot;x&quot;\);&quot;-&quot;"/>
    <numFmt numFmtId="172" formatCode="&quot;$&quot;0.00;\(&quot;$&quot;0.00\);&quot;-&quot;"/>
    <numFmt numFmtId="173" formatCode="0.0%"/>
    <numFmt numFmtId="174" formatCode="0.0&quot;x&quot;"/>
    <numFmt numFmtId="175" formatCode="#,##0.0;\(#,##0.0\);&quot;-&quot;"/>
    <numFmt numFmtId="176" formatCode="&quot;$&quot;#,##0;\(&quot;$&quot;#,##0\);&quot;-&quot;"/>
    <numFmt numFmtId="177" formatCode="&quot;$&quot;0.00"/>
    <numFmt numFmtId="178" formatCode="&quot;$&quot;0.0"/>
  </numFmts>
  <fonts count="5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9"/>
      <name val="Open Sans"/>
      <family val="2"/>
    </font>
    <font>
      <b/>
      <sz val="10"/>
      <color theme="1"/>
      <name val="Open Sans"/>
      <family val="2"/>
    </font>
    <font>
      <b/>
      <sz val="10"/>
      <color rgb="FF7030A0"/>
      <name val="Open Sans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FFFF"/>
      <name val="Aptos Narrow"/>
      <family val="2"/>
      <scheme val="minor"/>
    </font>
    <font>
      <b/>
      <sz val="10"/>
      <color rgb="FF000000"/>
      <name val="Open Sans"/>
      <family val="2"/>
    </font>
    <font>
      <sz val="11"/>
      <color rgb="FF0000FF"/>
      <name val="Aptos Narrow"/>
      <family val="2"/>
      <scheme val="minor"/>
    </font>
    <font>
      <sz val="10"/>
      <color rgb="FF0000FF"/>
      <name val="Open Sans"/>
      <family val="2"/>
    </font>
    <font>
      <i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rgb="FF0000FF"/>
      <name val="Aptos Narrow"/>
      <scheme val="minor"/>
    </font>
    <font>
      <b/>
      <sz val="11"/>
      <color theme="1"/>
      <name val="Aptos Narrow"/>
      <scheme val="minor"/>
    </font>
    <font>
      <sz val="11"/>
      <color rgb="FF008000"/>
      <name val="Aptos Narrow"/>
      <scheme val="minor"/>
    </font>
    <font>
      <b/>
      <sz val="11"/>
      <color rgb="FF0000FF"/>
      <name val="Aptos Narrow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Aptos Narrow"/>
      <scheme val="minor"/>
    </font>
    <font>
      <b/>
      <sz val="26"/>
      <color rgb="FFFFFFFF"/>
      <name val="Aptos Narrow"/>
      <scheme val="minor"/>
    </font>
    <font>
      <sz val="13"/>
      <color rgb="FFFFFFFF"/>
      <name val="Aptos Narrow"/>
      <scheme val="minor"/>
    </font>
    <font>
      <sz val="10"/>
      <color rgb="FFFFFFFF"/>
      <name val="Aptos Narrow"/>
      <scheme val="minor"/>
    </font>
    <font>
      <b/>
      <sz val="11"/>
      <color rgb="FF6A5E92"/>
      <name val="Aptos Narrow"/>
      <scheme val="minor"/>
    </font>
    <font>
      <sz val="11"/>
      <color rgb="FF1A1A2E"/>
      <name val="Aptos Narrow"/>
      <scheme val="minor"/>
    </font>
    <font>
      <b/>
      <sz val="11"/>
      <color rgb="FF1A1A2E"/>
      <name val="Aptos Narrow"/>
      <scheme val="minor"/>
    </font>
    <font>
      <b/>
      <sz val="12"/>
      <color rgb="FFFFFFFF"/>
      <name val="Aptos Narrow"/>
      <scheme val="minor"/>
    </font>
    <font>
      <b/>
      <sz val="10"/>
      <color rgb="FF4B3E77"/>
      <name val="Aptos Narrow"/>
      <scheme val="minor"/>
    </font>
    <font>
      <sz val="10.5"/>
      <color rgb="FF1A1A2E"/>
      <name val="Aptos Narrow"/>
      <scheme val="minor"/>
    </font>
    <font>
      <b/>
      <sz val="10.5"/>
      <color rgb="FF0000FF"/>
      <name val="Aptos Narrow"/>
      <scheme val="minor"/>
    </font>
    <font>
      <b/>
      <sz val="10.5"/>
      <color rgb="FF000000"/>
      <name val="Aptos Narrow"/>
      <scheme val="minor"/>
    </font>
    <font>
      <b/>
      <sz val="10.5"/>
      <color rgb="FF008000"/>
      <name val="Aptos Narrow"/>
      <scheme val="minor"/>
    </font>
    <font>
      <i/>
      <sz val="9"/>
      <color rgb="FF8A8A8A"/>
      <name val="Aptos Narrow"/>
      <scheme val="minor"/>
    </font>
    <font>
      <b/>
      <u/>
      <sz val="11"/>
      <color rgb="FF4B3E77"/>
      <name val="Aptos Narrow"/>
      <scheme val="minor"/>
    </font>
    <font>
      <b/>
      <sz val="10.5"/>
      <color rgb="FFFF0000"/>
      <name val="Aptos Narrow"/>
      <scheme val="minor"/>
    </font>
    <font>
      <b/>
      <sz val="10.5"/>
      <color rgb="FFFFC000"/>
      <name val="Aptos Narrow"/>
      <scheme val="minor"/>
    </font>
    <font>
      <sz val="11"/>
      <color rgb="FFFFC000"/>
      <name val="Aptos Narrow"/>
      <scheme val="minor"/>
    </font>
    <font>
      <sz val="9"/>
      <color rgb="FF8A8A8A"/>
      <name val="Aptos Narrow"/>
      <scheme val="minor"/>
    </font>
    <font>
      <b/>
      <sz val="10"/>
      <color rgb="FF4B3E77"/>
      <name val="Aptos Narrow"/>
      <family val="2"/>
      <scheme val="minor"/>
    </font>
    <font>
      <b/>
      <sz val="9.5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B3E77"/>
        <bgColor indexed="64"/>
      </patternFill>
    </fill>
    <fill>
      <patternFill patternType="solid">
        <fgColor rgb="FFECEAF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thin">
        <color rgb="FF4B3E77"/>
      </top>
      <bottom/>
      <diagonal/>
    </border>
    <border>
      <left/>
      <right/>
      <top style="thin">
        <color rgb="FFD9D4E8"/>
      </top>
      <bottom style="thin">
        <color rgb="FFD9D4E8"/>
      </bottom>
      <diagonal/>
    </border>
    <border>
      <left/>
      <right/>
      <top style="thin">
        <color rgb="FFD9D4E8"/>
      </top>
      <bottom/>
      <diagonal/>
    </border>
    <border>
      <left/>
      <right/>
      <top style="medium">
        <color rgb="FF4B3E77"/>
      </top>
      <bottom/>
      <diagonal/>
    </border>
    <border>
      <left/>
      <right/>
      <top/>
      <bottom style="medium">
        <color rgb="FF4B3E77"/>
      </bottom>
      <diagonal/>
    </border>
    <border>
      <left style="medium">
        <color rgb="FF4B3E77"/>
      </left>
      <right/>
      <top style="medium">
        <color rgb="FF4B3E77"/>
      </top>
      <bottom/>
      <diagonal/>
    </border>
    <border>
      <left style="medium">
        <color rgb="FF4B3E77"/>
      </left>
      <right/>
      <top/>
      <bottom/>
      <diagonal/>
    </border>
    <border>
      <left style="medium">
        <color rgb="FF4B3E77"/>
      </left>
      <right/>
      <top style="thin">
        <color rgb="FF4B3E77"/>
      </top>
      <bottom/>
      <diagonal/>
    </border>
    <border>
      <left style="medium">
        <color rgb="FF4B3E77"/>
      </left>
      <right/>
      <top style="thin">
        <color rgb="FFD9D4E8"/>
      </top>
      <bottom/>
      <diagonal/>
    </border>
    <border>
      <left style="medium">
        <color rgb="FF4B3E77"/>
      </left>
      <right/>
      <top style="thin">
        <color rgb="FFD9D4E8"/>
      </top>
      <bottom style="thin">
        <color rgb="FFD9D4E8"/>
      </bottom>
      <diagonal/>
    </border>
    <border>
      <left style="medium">
        <color rgb="FF4B3E77"/>
      </left>
      <right/>
      <top/>
      <bottom style="medium">
        <color rgb="FF4B3E77"/>
      </bottom>
      <diagonal/>
    </border>
    <border>
      <left/>
      <right style="medium">
        <color rgb="FF4B3E77"/>
      </right>
      <top style="medium">
        <color rgb="FF4B3E77"/>
      </top>
      <bottom/>
      <diagonal/>
    </border>
    <border>
      <left/>
      <right style="medium">
        <color rgb="FF4B3E77"/>
      </right>
      <top/>
      <bottom/>
      <diagonal/>
    </border>
    <border>
      <left/>
      <right style="medium">
        <color rgb="FF4B3E77"/>
      </right>
      <top/>
      <bottom style="thin">
        <color rgb="FF4B3E77"/>
      </bottom>
      <diagonal/>
    </border>
    <border>
      <left/>
      <right style="medium">
        <color rgb="FF4B3E77"/>
      </right>
      <top/>
      <bottom style="medium">
        <color rgb="FF4B3E77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90">
    <xf numFmtId="0" fontId="0" fillId="0" borderId="0" xfId="0"/>
    <xf numFmtId="164" fontId="3" fillId="0" borderId="0" xfId="0" applyNumberFormat="1" applyFont="1" applyAlignment="1">
      <alignment vertical="center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9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9" fontId="9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9" fontId="9" fillId="0" borderId="2" xfId="0" applyNumberFormat="1" applyFont="1" applyBorder="1" applyAlignment="1">
      <alignment horizontal="center"/>
    </xf>
    <xf numFmtId="9" fontId="9" fillId="0" borderId="3" xfId="0" applyNumberFormat="1" applyFont="1" applyBorder="1" applyAlignment="1">
      <alignment horizontal="center"/>
    </xf>
    <xf numFmtId="9" fontId="9" fillId="0" borderId="4" xfId="0" applyNumberFormat="1" applyFont="1" applyBorder="1" applyAlignment="1">
      <alignment horizontal="center"/>
    </xf>
    <xf numFmtId="166" fontId="9" fillId="0" borderId="2" xfId="0" applyNumberFormat="1" applyFont="1" applyBorder="1" applyAlignment="1">
      <alignment horizontal="center"/>
    </xf>
    <xf numFmtId="166" fontId="9" fillId="0" borderId="3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3" fontId="9" fillId="0" borderId="3" xfId="0" applyNumberFormat="1" applyFont="1" applyBorder="1" applyAlignment="1">
      <alignment horizontal="center"/>
    </xf>
    <xf numFmtId="3" fontId="9" fillId="0" borderId="4" xfId="0" applyNumberFormat="1" applyFont="1" applyBorder="1" applyAlignment="1">
      <alignment horizontal="center"/>
    </xf>
    <xf numFmtId="3" fontId="11" fillId="0" borderId="0" xfId="0" applyNumberFormat="1" applyFont="1" applyAlignment="1">
      <alignment horizontal="center"/>
    </xf>
    <xf numFmtId="3" fontId="11" fillId="0" borderId="5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3" fontId="11" fillId="0" borderId="7" xfId="0" applyNumberFormat="1" applyFont="1" applyBorder="1" applyAlignment="1">
      <alignment horizontal="center"/>
    </xf>
    <xf numFmtId="3" fontId="11" fillId="0" borderId="8" xfId="0" applyNumberFormat="1" applyFont="1" applyBorder="1" applyAlignment="1">
      <alignment horizontal="center"/>
    </xf>
    <xf numFmtId="3" fontId="11" fillId="0" borderId="9" xfId="0" applyNumberFormat="1" applyFont="1" applyBorder="1" applyAlignment="1">
      <alignment horizontal="center"/>
    </xf>
    <xf numFmtId="3" fontId="11" fillId="0" borderId="10" xfId="0" applyNumberFormat="1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3" fontId="11" fillId="0" borderId="12" xfId="0" applyNumberFormat="1" applyFont="1" applyBorder="1" applyAlignment="1">
      <alignment horizontal="center"/>
    </xf>
    <xf numFmtId="166" fontId="11" fillId="0" borderId="5" xfId="0" applyNumberFormat="1" applyFont="1" applyBorder="1" applyAlignment="1">
      <alignment horizontal="center"/>
    </xf>
    <xf numFmtId="166" fontId="11" fillId="0" borderId="6" xfId="0" applyNumberFormat="1" applyFont="1" applyBorder="1" applyAlignment="1">
      <alignment horizontal="center"/>
    </xf>
    <xf numFmtId="166" fontId="11" fillId="0" borderId="7" xfId="0" applyNumberFormat="1" applyFont="1" applyBorder="1" applyAlignment="1">
      <alignment horizontal="center"/>
    </xf>
    <xf numFmtId="166" fontId="11" fillId="0" borderId="8" xfId="0" applyNumberFormat="1" applyFont="1" applyBorder="1" applyAlignment="1">
      <alignment horizontal="center"/>
    </xf>
    <xf numFmtId="166" fontId="11" fillId="0" borderId="0" xfId="0" applyNumberFormat="1" applyFont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166" fontId="11" fillId="0" borderId="10" xfId="0" applyNumberFormat="1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6" fontId="11" fillId="0" borderId="12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9" fontId="11" fillId="0" borderId="6" xfId="0" applyNumberFormat="1" applyFont="1" applyBorder="1" applyAlignment="1">
      <alignment horizontal="center"/>
    </xf>
    <xf numFmtId="9" fontId="11" fillId="0" borderId="7" xfId="0" applyNumberFormat="1" applyFont="1" applyBorder="1" applyAlignment="1">
      <alignment horizontal="center"/>
    </xf>
    <xf numFmtId="9" fontId="11" fillId="0" borderId="8" xfId="0" applyNumberFormat="1" applyFont="1" applyBorder="1" applyAlignment="1">
      <alignment horizontal="center"/>
    </xf>
    <xf numFmtId="9" fontId="11" fillId="0" borderId="0" xfId="0" applyNumberFormat="1" applyFont="1" applyAlignment="1">
      <alignment horizontal="center"/>
    </xf>
    <xf numFmtId="9" fontId="11" fillId="0" borderId="9" xfId="0" applyNumberFormat="1" applyFont="1" applyBorder="1" applyAlignment="1">
      <alignment horizontal="center"/>
    </xf>
    <xf numFmtId="9" fontId="11" fillId="0" borderId="10" xfId="0" applyNumberFormat="1" applyFont="1" applyBorder="1" applyAlignment="1">
      <alignment horizontal="center"/>
    </xf>
    <xf numFmtId="9" fontId="11" fillId="0" borderId="11" xfId="0" applyNumberFormat="1" applyFont="1" applyBorder="1" applyAlignment="1">
      <alignment horizontal="center"/>
    </xf>
    <xf numFmtId="9" fontId="11" fillId="0" borderId="12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12" fillId="0" borderId="0" xfId="0" applyFont="1"/>
    <xf numFmtId="167" fontId="10" fillId="0" borderId="0" xfId="0" applyNumberFormat="1" applyFont="1"/>
    <xf numFmtId="167" fontId="13" fillId="0" borderId="0" xfId="0" applyNumberFormat="1" applyFont="1"/>
    <xf numFmtId="167" fontId="2" fillId="0" borderId="0" xfId="0" applyNumberFormat="1" applyFont="1"/>
    <xf numFmtId="168" fontId="10" fillId="0" borderId="0" xfId="0" applyNumberFormat="1" applyFont="1"/>
    <xf numFmtId="0" fontId="14" fillId="0" borderId="0" xfId="0" applyFont="1"/>
    <xf numFmtId="167" fontId="14" fillId="0" borderId="0" xfId="0" applyNumberFormat="1" applyFont="1"/>
    <xf numFmtId="167" fontId="15" fillId="0" borderId="0" xfId="0" applyNumberFormat="1" applyFont="1"/>
    <xf numFmtId="0" fontId="16" fillId="0" borderId="0" xfId="0" applyFont="1"/>
    <xf numFmtId="167" fontId="16" fillId="0" borderId="0" xfId="0" applyNumberFormat="1" applyFont="1"/>
    <xf numFmtId="0" fontId="17" fillId="0" borderId="0" xfId="0" applyFont="1"/>
    <xf numFmtId="0" fontId="18" fillId="0" borderId="0" xfId="0" applyFont="1"/>
    <xf numFmtId="167" fontId="19" fillId="0" borderId="0" xfId="0" applyNumberFormat="1" applyFont="1"/>
    <xf numFmtId="0" fontId="20" fillId="2" borderId="0" xfId="0" applyFont="1" applyFill="1"/>
    <xf numFmtId="0" fontId="21" fillId="0" borderId="0" xfId="0" applyFont="1"/>
    <xf numFmtId="167" fontId="22" fillId="0" borderId="0" xfId="0" applyNumberFormat="1" applyFont="1"/>
    <xf numFmtId="167" fontId="23" fillId="0" borderId="0" xfId="0" applyNumberFormat="1" applyFont="1"/>
    <xf numFmtId="168" fontId="22" fillId="0" borderId="0" xfId="0" applyNumberFormat="1" applyFont="1"/>
    <xf numFmtId="0" fontId="24" fillId="0" borderId="0" xfId="0" applyFont="1"/>
    <xf numFmtId="167" fontId="24" fillId="0" borderId="0" xfId="0" applyNumberFormat="1" applyFont="1"/>
    <xf numFmtId="0" fontId="25" fillId="0" borderId="0" xfId="0" applyFont="1"/>
    <xf numFmtId="167" fontId="25" fillId="0" borderId="0" xfId="0" applyNumberFormat="1" applyFont="1"/>
    <xf numFmtId="0" fontId="18" fillId="0" borderId="0" xfId="0" applyFont="1" applyAlignment="1">
      <alignment horizontal="right"/>
    </xf>
    <xf numFmtId="169" fontId="15" fillId="0" borderId="0" xfId="0" applyNumberFormat="1" applyFont="1"/>
    <xf numFmtId="169" fontId="22" fillId="0" borderId="0" xfId="0" applyNumberFormat="1" applyFont="1"/>
    <xf numFmtId="167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69" fontId="0" fillId="0" borderId="0" xfId="0" applyNumberFormat="1"/>
    <xf numFmtId="0" fontId="26" fillId="0" borderId="0" xfId="0" applyFont="1" applyAlignment="1">
      <alignment horizontal="right"/>
    </xf>
    <xf numFmtId="167" fontId="17" fillId="0" borderId="0" xfId="0" applyNumberFormat="1" applyFont="1"/>
    <xf numFmtId="1" fontId="17" fillId="0" borderId="0" xfId="0" applyNumberFormat="1" applyFont="1" applyAlignment="1">
      <alignment horizontal="right"/>
    </xf>
    <xf numFmtId="168" fontId="17" fillId="0" borderId="0" xfId="0" applyNumberFormat="1" applyFont="1"/>
    <xf numFmtId="0" fontId="17" fillId="0" borderId="1" xfId="0" applyFont="1" applyBorder="1"/>
    <xf numFmtId="173" fontId="15" fillId="3" borderId="1" xfId="0" applyNumberFormat="1" applyFont="1" applyFill="1" applyBorder="1"/>
    <xf numFmtId="0" fontId="0" fillId="0" borderId="1" xfId="0" applyBorder="1"/>
    <xf numFmtId="174" fontId="15" fillId="3" borderId="1" xfId="0" applyNumberFormat="1" applyFont="1" applyFill="1" applyBorder="1"/>
    <xf numFmtId="174" fontId="15" fillId="0" borderId="0" xfId="0" applyNumberFormat="1" applyFont="1"/>
    <xf numFmtId="175" fontId="0" fillId="0" borderId="0" xfId="0" applyNumberFormat="1"/>
    <xf numFmtId="172" fontId="2" fillId="3" borderId="0" xfId="0" applyNumberFormat="1" applyFont="1" applyFill="1"/>
    <xf numFmtId="172" fontId="10" fillId="3" borderId="0" xfId="0" applyNumberFormat="1" applyFont="1" applyFill="1"/>
    <xf numFmtId="175" fontId="10" fillId="3" borderId="0" xfId="0" applyNumberFormat="1" applyFont="1" applyFill="1"/>
    <xf numFmtId="176" fontId="0" fillId="0" borderId="0" xfId="0" applyNumberFormat="1"/>
    <xf numFmtId="172" fontId="2" fillId="0" borderId="0" xfId="0" applyNumberFormat="1" applyFont="1"/>
    <xf numFmtId="170" fontId="2" fillId="0" borderId="0" xfId="0" applyNumberFormat="1" applyFont="1"/>
    <xf numFmtId="0" fontId="27" fillId="0" borderId="0" xfId="0" applyFont="1"/>
    <xf numFmtId="0" fontId="28" fillId="2" borderId="0" xfId="0" applyFont="1" applyFill="1"/>
    <xf numFmtId="173" fontId="29" fillId="3" borderId="0" xfId="0" applyNumberFormat="1" applyFont="1" applyFill="1"/>
    <xf numFmtId="167" fontId="27" fillId="0" borderId="0" xfId="0" applyNumberFormat="1" applyFont="1"/>
    <xf numFmtId="168" fontId="27" fillId="0" borderId="0" xfId="0" applyNumberFormat="1" applyFont="1"/>
    <xf numFmtId="177" fontId="30" fillId="0" borderId="0" xfId="0" applyNumberFormat="1" applyFont="1" applyAlignment="1">
      <alignment horizontal="center"/>
    </xf>
    <xf numFmtId="177" fontId="27" fillId="0" borderId="0" xfId="0" applyNumberFormat="1" applyFont="1"/>
    <xf numFmtId="177" fontId="0" fillId="0" borderId="0" xfId="0" applyNumberFormat="1"/>
    <xf numFmtId="177" fontId="0" fillId="3" borderId="0" xfId="0" applyNumberFormat="1" applyFill="1"/>
    <xf numFmtId="166" fontId="31" fillId="3" borderId="0" xfId="0" applyNumberFormat="1" applyFont="1" applyFill="1"/>
    <xf numFmtId="167" fontId="29" fillId="0" borderId="0" xfId="0" applyNumberFormat="1" applyFont="1"/>
    <xf numFmtId="167" fontId="32" fillId="0" borderId="0" xfId="0" applyNumberFormat="1" applyFont="1"/>
    <xf numFmtId="168" fontId="29" fillId="0" borderId="0" xfId="0" applyNumberFormat="1" applyFont="1"/>
    <xf numFmtId="169" fontId="29" fillId="0" borderId="0" xfId="0" applyNumberFormat="1" applyFont="1"/>
    <xf numFmtId="173" fontId="15" fillId="0" borderId="0" xfId="0" applyNumberFormat="1" applyFont="1" applyFill="1"/>
    <xf numFmtId="168" fontId="36" fillId="0" borderId="0" xfId="0" applyNumberFormat="1" applyFont="1"/>
    <xf numFmtId="174" fontId="10" fillId="3" borderId="1" xfId="0" applyNumberFormat="1" applyFont="1" applyFill="1" applyBorder="1"/>
    <xf numFmtId="0" fontId="44" fillId="5" borderId="0" xfId="0" applyFont="1" applyFill="1" applyBorder="1"/>
    <xf numFmtId="0" fontId="0" fillId="5" borderId="0" xfId="0" applyFill="1" applyBorder="1"/>
    <xf numFmtId="0" fontId="0" fillId="0" borderId="13" xfId="0" applyBorder="1"/>
    <xf numFmtId="0" fontId="45" fillId="0" borderId="13" xfId="0" applyFont="1" applyBorder="1"/>
    <xf numFmtId="0" fontId="0" fillId="0" borderId="14" xfId="0" applyBorder="1"/>
    <xf numFmtId="0" fontId="45" fillId="0" borderId="14" xfId="0" applyFont="1" applyBorder="1"/>
    <xf numFmtId="0" fontId="0" fillId="0" borderId="15" xfId="0" applyBorder="1"/>
    <xf numFmtId="0" fontId="45" fillId="0" borderId="15" xfId="0" applyFont="1" applyBorder="1"/>
    <xf numFmtId="0" fontId="0" fillId="0" borderId="0" xfId="0" applyBorder="1"/>
    <xf numFmtId="0" fontId="0" fillId="4" borderId="0" xfId="0" applyFill="1" applyBorder="1"/>
    <xf numFmtId="0" fontId="37" fillId="4" borderId="0" xfId="0" applyFont="1" applyFill="1" applyBorder="1"/>
    <xf numFmtId="0" fontId="38" fillId="4" borderId="0" xfId="0" applyFont="1" applyFill="1" applyBorder="1"/>
    <xf numFmtId="0" fontId="39" fillId="4" borderId="0" xfId="0" applyFont="1" applyFill="1" applyBorder="1"/>
    <xf numFmtId="0" fontId="42" fillId="0" borderId="0" xfId="0" applyFont="1" applyBorder="1"/>
    <xf numFmtId="0" fontId="41" fillId="0" borderId="0" xfId="0" applyFont="1" applyBorder="1"/>
    <xf numFmtId="49" fontId="41" fillId="0" borderId="0" xfId="0" applyNumberFormat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40" fillId="0" borderId="19" xfId="0" applyFont="1" applyBorder="1" applyAlignment="1">
      <alignment horizontal="right"/>
    </xf>
    <xf numFmtId="0" fontId="43" fillId="4" borderId="19" xfId="0" applyFont="1" applyFill="1" applyBorder="1" applyAlignment="1">
      <alignment horizontal="right"/>
    </xf>
    <xf numFmtId="0" fontId="44" fillId="5" borderId="19" xfId="0" applyFont="1" applyFill="1" applyBorder="1"/>
    <xf numFmtId="0" fontId="50" fillId="0" borderId="20" xfId="1" applyFont="1" applyBorder="1"/>
    <xf numFmtId="0" fontId="50" fillId="0" borderId="21" xfId="1" applyFont="1" applyBorder="1"/>
    <xf numFmtId="0" fontId="50" fillId="0" borderId="22" xfId="1" applyFont="1" applyBorder="1"/>
    <xf numFmtId="0" fontId="43" fillId="4" borderId="19" xfId="0" applyFont="1" applyFill="1" applyBorder="1"/>
    <xf numFmtId="0" fontId="46" fillId="0" borderId="19" xfId="0" applyFont="1" applyBorder="1"/>
    <xf numFmtId="0" fontId="47" fillId="0" borderId="19" xfId="0" applyFont="1" applyBorder="1"/>
    <xf numFmtId="0" fontId="48" fillId="0" borderId="19" xfId="0" applyFont="1" applyBorder="1"/>
    <xf numFmtId="0" fontId="45" fillId="0" borderId="19" xfId="0" applyFont="1" applyBorder="1"/>
    <xf numFmtId="0" fontId="49" fillId="0" borderId="19" xfId="0" applyFont="1" applyBorder="1"/>
    <xf numFmtId="0" fontId="0" fillId="0" borderId="23" xfId="0" applyBorder="1"/>
    <xf numFmtId="0" fontId="0" fillId="0" borderId="24" xfId="0" applyBorder="1"/>
    <xf numFmtId="0" fontId="0" fillId="4" borderId="25" xfId="0" applyFill="1" applyBorder="1"/>
    <xf numFmtId="0" fontId="0" fillId="0" borderId="25" xfId="0" applyBorder="1"/>
    <xf numFmtId="0" fontId="0" fillId="5" borderId="26" xfId="0" applyFill="1" applyBorder="1"/>
    <xf numFmtId="0" fontId="0" fillId="0" borderId="27" xfId="0" applyBorder="1"/>
    <xf numFmtId="0" fontId="51" fillId="0" borderId="19" xfId="0" applyFont="1" applyBorder="1"/>
    <xf numFmtId="0" fontId="52" fillId="0" borderId="19" xfId="0" applyFont="1" applyFill="1" applyBorder="1"/>
    <xf numFmtId="0" fontId="53" fillId="0" borderId="0" xfId="0" applyFont="1" applyFill="1" applyBorder="1"/>
    <xf numFmtId="0" fontId="54" fillId="0" borderId="0" xfId="0" applyFont="1"/>
    <xf numFmtId="0" fontId="49" fillId="0" borderId="0" xfId="0" applyFont="1"/>
    <xf numFmtId="49" fontId="55" fillId="0" borderId="0" xfId="0" applyNumberFormat="1" applyFont="1" applyAlignment="1">
      <alignment horizontal="center"/>
    </xf>
    <xf numFmtId="0" fontId="30" fillId="0" borderId="0" xfId="0" applyFont="1"/>
    <xf numFmtId="173" fontId="10" fillId="0" borderId="0" xfId="0" applyNumberFormat="1" applyFont="1"/>
    <xf numFmtId="173" fontId="10" fillId="3" borderId="0" xfId="0" applyNumberFormat="1" applyFont="1" applyFill="1"/>
    <xf numFmtId="176" fontId="10" fillId="0" borderId="0" xfId="0" applyNumberFormat="1" applyFont="1"/>
    <xf numFmtId="177" fontId="2" fillId="3" borderId="0" xfId="0" applyNumberFormat="1" applyFont="1" applyFill="1"/>
    <xf numFmtId="0" fontId="56" fillId="0" borderId="0" xfId="0" applyFont="1"/>
    <xf numFmtId="178" fontId="10" fillId="0" borderId="0" xfId="0" applyNumberFormat="1" applyFont="1"/>
    <xf numFmtId="3" fontId="0" fillId="0" borderId="0" xfId="0" applyNumberFormat="1"/>
    <xf numFmtId="0" fontId="8" fillId="2" borderId="0" xfId="0" applyFont="1" applyFill="1"/>
    <xf numFmtId="0" fontId="28" fillId="2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3" fontId="31" fillId="0" borderId="0" xfId="0" applyNumberFormat="1" applyFont="1"/>
    <xf numFmtId="178" fontId="31" fillId="0" borderId="0" xfId="0" applyNumberFormat="1" applyFont="1"/>
    <xf numFmtId="166" fontId="10" fillId="0" borderId="0" xfId="0" applyNumberFormat="1" applyFont="1"/>
    <xf numFmtId="1" fontId="10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1</xdr:row>
      <xdr:rowOff>161925</xdr:rowOff>
    </xdr:from>
    <xdr:to>
      <xdr:col>1</xdr:col>
      <xdr:colOff>1901825</xdr:colOff>
      <xdr:row>7</xdr:row>
      <xdr:rowOff>597447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97C9B49-6810-FE2B-D152-FB8620072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3619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525" row="2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CBF6807-EAA1-4522-AEE1-656BE30ED18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a52b41af-b026-4362-aae5-e231b2b36af4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9960CA3B-C03A-4300-BC20-10BAF6E28EFD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098f74c9-da85-4193-9b63-4b9e8ddf0652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E18E148D-7343-40F4-AD4B-4BEFF1081A18}">
  <we:reference id="wa200007447" version="1.1.6.7" store="es-M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5231-7844-42EE-86F7-B36D578BE75D}">
  <sheetPr>
    <tabColor rgb="FF4B3E77"/>
  </sheetPr>
  <dimension ref="B1:I38"/>
  <sheetViews>
    <sheetView showGridLines="0" tabSelected="1" zoomScale="96" zoomScaleNormal="96" workbookViewId="0">
      <pane ySplit="8" topLeftCell="A9" activePane="bottomLeft" state="frozen"/>
      <selection pane="bottomLeft" activeCell="D5" sqref="D5"/>
    </sheetView>
  </sheetViews>
  <sheetFormatPr baseColWidth="10" defaultRowHeight="14.25"/>
  <cols>
    <col min="1" max="1" width="2.75" customWidth="1"/>
    <col min="2" max="2" width="27.25" customWidth="1"/>
    <col min="3" max="3" width="2.125" customWidth="1"/>
    <col min="4" max="8" width="20" customWidth="1"/>
    <col min="9" max="9" width="3.625" customWidth="1"/>
  </cols>
  <sheetData>
    <row r="1" spans="2:9" ht="15" thickBot="1"/>
    <row r="2" spans="2:9">
      <c r="B2" s="149"/>
      <c r="C2" s="147"/>
      <c r="D2" s="147"/>
      <c r="E2" s="147"/>
      <c r="F2" s="147"/>
      <c r="G2" s="147"/>
      <c r="H2" s="147"/>
      <c r="I2" s="164"/>
    </row>
    <row r="3" spans="2:9" ht="9.9499999999999993" customHeight="1">
      <c r="B3" s="150"/>
      <c r="C3" s="140"/>
      <c r="D3" s="140"/>
      <c r="E3" s="140"/>
      <c r="F3" s="140"/>
      <c r="G3" s="140"/>
      <c r="H3" s="140"/>
      <c r="I3" s="165"/>
    </row>
    <row r="4" spans="2:9" ht="39.950000000000003" customHeight="1">
      <c r="B4" s="150"/>
      <c r="C4" s="140"/>
      <c r="D4" s="141" t="s">
        <v>273</v>
      </c>
      <c r="E4" s="140"/>
      <c r="F4" s="140"/>
      <c r="G4" s="140"/>
      <c r="H4" s="140"/>
      <c r="I4" s="165"/>
    </row>
    <row r="5" spans="2:9" ht="21.95" customHeight="1">
      <c r="B5" s="150"/>
      <c r="C5" s="140"/>
      <c r="D5" s="142" t="s">
        <v>274</v>
      </c>
      <c r="E5" s="140"/>
      <c r="F5" s="140"/>
      <c r="G5" s="140"/>
      <c r="H5" s="140"/>
      <c r="I5" s="165"/>
    </row>
    <row r="6" spans="2:9" ht="6" customHeight="1">
      <c r="B6" s="150"/>
      <c r="C6" s="140"/>
      <c r="D6" s="140"/>
      <c r="E6" s="140"/>
      <c r="F6" s="140"/>
      <c r="G6" s="140"/>
      <c r="H6" s="140"/>
      <c r="I6" s="165"/>
    </row>
    <row r="7" spans="2:9" ht="18" customHeight="1">
      <c r="B7" s="150"/>
      <c r="C7" s="140"/>
      <c r="D7" s="143" t="s">
        <v>275</v>
      </c>
      <c r="E7" s="140"/>
      <c r="F7" s="140"/>
      <c r="G7" s="140"/>
      <c r="H7" s="140"/>
      <c r="I7" s="165"/>
    </row>
    <row r="8" spans="2:9" ht="60" customHeight="1">
      <c r="B8" s="150"/>
      <c r="C8" s="140"/>
      <c r="D8" s="140"/>
      <c r="E8" s="140"/>
      <c r="F8" s="140"/>
      <c r="G8" s="140"/>
      <c r="H8" s="140"/>
      <c r="I8" s="165"/>
    </row>
    <row r="9" spans="2:9">
      <c r="B9" s="150"/>
      <c r="C9" s="139"/>
      <c r="D9" s="139"/>
      <c r="E9" s="139"/>
      <c r="F9" s="139"/>
      <c r="G9" s="139"/>
      <c r="H9" s="139"/>
      <c r="I9" s="166"/>
    </row>
    <row r="10" spans="2:9">
      <c r="B10" s="150"/>
      <c r="C10" s="139"/>
      <c r="D10" s="139"/>
      <c r="E10" s="139"/>
      <c r="F10" s="139"/>
      <c r="G10" s="139"/>
      <c r="H10" s="139"/>
      <c r="I10" s="166"/>
    </row>
    <row r="11" spans="2:9">
      <c r="B11" s="150"/>
      <c r="C11" s="139"/>
      <c r="D11" s="139"/>
      <c r="E11" s="139"/>
      <c r="F11" s="139"/>
      <c r="G11" s="139"/>
      <c r="H11" s="139"/>
      <c r="I11" s="166"/>
    </row>
    <row r="12" spans="2:9">
      <c r="B12" s="150"/>
      <c r="C12" s="139"/>
      <c r="D12" s="139"/>
      <c r="E12" s="139"/>
      <c r="F12" s="139"/>
      <c r="G12" s="139"/>
      <c r="H12" s="139"/>
      <c r="I12" s="166"/>
    </row>
    <row r="13" spans="2:9">
      <c r="B13" s="150"/>
      <c r="C13" s="139"/>
      <c r="D13" s="139"/>
      <c r="E13" s="139"/>
      <c r="F13" s="139"/>
      <c r="G13" s="139"/>
      <c r="H13" s="139"/>
      <c r="I13" s="166"/>
    </row>
    <row r="14" spans="2:9" ht="15">
      <c r="B14" s="151" t="s">
        <v>276</v>
      </c>
      <c r="C14" s="139"/>
      <c r="D14" s="144" t="s">
        <v>277</v>
      </c>
      <c r="E14" s="139"/>
      <c r="F14" s="139"/>
      <c r="G14" s="139"/>
      <c r="H14" s="139"/>
      <c r="I14" s="166"/>
    </row>
    <row r="15" spans="2:9" ht="15">
      <c r="B15" s="151" t="s">
        <v>278</v>
      </c>
      <c r="C15" s="139"/>
      <c r="D15" s="145" t="s">
        <v>279</v>
      </c>
      <c r="E15" s="139"/>
      <c r="F15" s="139"/>
      <c r="G15" s="139"/>
      <c r="H15" s="139"/>
      <c r="I15" s="166"/>
    </row>
    <row r="16" spans="2:9" ht="15">
      <c r="B16" s="151" t="s">
        <v>280</v>
      </c>
      <c r="C16" s="139"/>
      <c r="D16" s="145" t="s">
        <v>281</v>
      </c>
      <c r="E16" s="139"/>
      <c r="F16" s="139"/>
      <c r="G16" s="139"/>
      <c r="H16" s="139"/>
      <c r="I16" s="166"/>
    </row>
    <row r="17" spans="2:9" ht="15">
      <c r="B17" s="151" t="s">
        <v>282</v>
      </c>
      <c r="C17" s="139"/>
      <c r="D17" s="146" t="s">
        <v>300</v>
      </c>
      <c r="E17" s="139"/>
      <c r="F17" s="139"/>
      <c r="G17" s="139"/>
      <c r="H17" s="139"/>
      <c r="I17" s="166"/>
    </row>
    <row r="18" spans="2:9">
      <c r="B18" s="150"/>
      <c r="C18" s="139"/>
      <c r="D18" s="139"/>
      <c r="E18" s="139"/>
      <c r="F18" s="139"/>
      <c r="G18" s="139"/>
      <c r="H18" s="139"/>
      <c r="I18" s="166"/>
    </row>
    <row r="19" spans="2:9">
      <c r="B19" s="150"/>
      <c r="C19" s="139"/>
      <c r="D19" s="139"/>
      <c r="E19" s="139"/>
      <c r="F19" s="139"/>
      <c r="G19" s="139"/>
      <c r="H19" s="139"/>
      <c r="I19" s="166"/>
    </row>
    <row r="20" spans="2:9" ht="21.95" customHeight="1">
      <c r="B20" s="152" t="s">
        <v>283</v>
      </c>
      <c r="C20" s="140"/>
      <c r="D20" s="140"/>
      <c r="E20" s="140"/>
      <c r="F20" s="140"/>
      <c r="G20" s="140"/>
      <c r="H20" s="140"/>
      <c r="I20" s="165"/>
    </row>
    <row r="21" spans="2:9" ht="18" customHeight="1">
      <c r="B21" s="153" t="s">
        <v>284</v>
      </c>
      <c r="C21" s="132"/>
      <c r="D21" s="131" t="s">
        <v>285</v>
      </c>
      <c r="E21" s="132"/>
      <c r="F21" s="132"/>
      <c r="G21" s="132"/>
      <c r="H21" s="132"/>
      <c r="I21" s="167"/>
    </row>
    <row r="22" spans="2:9" ht="20.100000000000001" customHeight="1">
      <c r="B22" s="154" t="s">
        <v>286</v>
      </c>
      <c r="C22" s="133"/>
      <c r="D22" s="134" t="s">
        <v>301</v>
      </c>
      <c r="E22" s="133"/>
      <c r="F22" s="133"/>
      <c r="G22" s="133"/>
      <c r="H22" s="133"/>
      <c r="I22" s="166"/>
    </row>
    <row r="23" spans="2:9" ht="20.100000000000001" customHeight="1">
      <c r="B23" s="155" t="s">
        <v>287</v>
      </c>
      <c r="C23" s="137"/>
      <c r="D23" s="138" t="s">
        <v>288</v>
      </c>
      <c r="E23" s="137"/>
      <c r="F23" s="137"/>
      <c r="G23" s="137"/>
      <c r="H23" s="137"/>
      <c r="I23" s="166"/>
    </row>
    <row r="24" spans="2:9" ht="20.100000000000001" customHeight="1">
      <c r="B24" s="155" t="s">
        <v>289</v>
      </c>
      <c r="C24" s="137"/>
      <c r="D24" s="138" t="s">
        <v>290</v>
      </c>
      <c r="E24" s="137"/>
      <c r="F24" s="137"/>
      <c r="G24" s="137"/>
      <c r="H24" s="137"/>
      <c r="I24" s="166"/>
    </row>
    <row r="25" spans="2:9" ht="20.100000000000001" customHeight="1">
      <c r="B25" s="156" t="s">
        <v>291</v>
      </c>
      <c r="C25" s="135"/>
      <c r="D25" s="136" t="s">
        <v>292</v>
      </c>
      <c r="E25" s="135"/>
      <c r="F25" s="135"/>
      <c r="G25" s="135"/>
      <c r="H25" s="135"/>
      <c r="I25" s="166"/>
    </row>
    <row r="26" spans="2:9">
      <c r="B26" s="150"/>
      <c r="C26" s="139"/>
      <c r="D26" s="139"/>
      <c r="E26" s="139"/>
      <c r="F26" s="139"/>
      <c r="G26" s="139"/>
      <c r="H26" s="139"/>
      <c r="I26" s="166"/>
    </row>
    <row r="27" spans="2:9">
      <c r="B27" s="150"/>
      <c r="C27" s="139"/>
      <c r="D27" s="139"/>
      <c r="E27" s="139"/>
      <c r="F27" s="139"/>
      <c r="G27" s="139"/>
      <c r="H27" s="139"/>
      <c r="I27" s="166"/>
    </row>
    <row r="28" spans="2:9" ht="21.95" customHeight="1">
      <c r="B28" s="157" t="s">
        <v>293</v>
      </c>
      <c r="C28" s="140"/>
      <c r="D28" s="140"/>
      <c r="E28" s="140"/>
      <c r="F28" s="140"/>
      <c r="G28" s="140"/>
      <c r="H28" s="140"/>
      <c r="I28" s="165"/>
    </row>
    <row r="29" spans="2:9">
      <c r="B29" s="158" t="s">
        <v>294</v>
      </c>
      <c r="C29" s="139"/>
      <c r="D29" s="139"/>
      <c r="E29" s="139"/>
      <c r="F29" s="139"/>
      <c r="G29" s="139"/>
      <c r="H29" s="139"/>
      <c r="I29" s="166"/>
    </row>
    <row r="30" spans="2:9">
      <c r="B30" s="159" t="s">
        <v>295</v>
      </c>
      <c r="C30" s="139"/>
      <c r="D30" s="139"/>
      <c r="E30" s="139"/>
      <c r="F30" s="139"/>
      <c r="G30" s="139"/>
      <c r="H30" s="139"/>
      <c r="I30" s="166"/>
    </row>
    <row r="31" spans="2:9">
      <c r="B31" s="160" t="s">
        <v>296</v>
      </c>
      <c r="C31" s="139"/>
      <c r="D31" s="139"/>
      <c r="E31" s="139"/>
      <c r="F31" s="139"/>
      <c r="G31" s="139"/>
      <c r="H31" s="139"/>
      <c r="I31" s="166"/>
    </row>
    <row r="32" spans="2:9">
      <c r="B32" s="169" t="s">
        <v>302</v>
      </c>
      <c r="C32" s="139"/>
      <c r="D32" s="139"/>
      <c r="E32" s="139"/>
      <c r="F32" s="139"/>
      <c r="G32" s="139"/>
      <c r="H32" s="139"/>
      <c r="I32" s="166"/>
    </row>
    <row r="33" spans="2:9">
      <c r="B33" s="170" t="s">
        <v>303</v>
      </c>
      <c r="C33" s="171"/>
      <c r="D33" s="171"/>
      <c r="E33" s="139"/>
      <c r="F33" s="139"/>
      <c r="G33" s="139"/>
      <c r="H33" s="139"/>
      <c r="I33" s="166"/>
    </row>
    <row r="34" spans="2:9" ht="21.95" customHeight="1">
      <c r="B34" s="157" t="s">
        <v>297</v>
      </c>
      <c r="C34" s="140"/>
      <c r="D34" s="140"/>
      <c r="E34" s="140"/>
      <c r="F34" s="140"/>
      <c r="G34" s="140"/>
      <c r="H34" s="140"/>
      <c r="I34" s="165"/>
    </row>
    <row r="35" spans="2:9">
      <c r="B35" s="161" t="s">
        <v>298</v>
      </c>
      <c r="C35" s="139"/>
      <c r="D35" s="139"/>
      <c r="E35" s="139"/>
      <c r="F35" s="139"/>
      <c r="G35" s="139"/>
      <c r="H35" s="139"/>
      <c r="I35" s="166"/>
    </row>
    <row r="36" spans="2:9">
      <c r="B36" s="150"/>
      <c r="C36" s="139"/>
      <c r="D36" s="139"/>
      <c r="E36" s="139"/>
      <c r="F36" s="139"/>
      <c r="G36" s="139"/>
      <c r="H36" s="139"/>
      <c r="I36" s="166"/>
    </row>
    <row r="37" spans="2:9">
      <c r="B37" s="162" t="s">
        <v>299</v>
      </c>
      <c r="C37" s="139"/>
      <c r="D37" s="139"/>
      <c r="E37" s="139"/>
      <c r="F37" s="139"/>
      <c r="G37" s="139"/>
      <c r="H37" s="139"/>
      <c r="I37" s="166"/>
    </row>
    <row r="38" spans="2:9" ht="15" thickBot="1">
      <c r="B38" s="163"/>
      <c r="C38" s="148"/>
      <c r="D38" s="148"/>
      <c r="E38" s="148"/>
      <c r="F38" s="148"/>
      <c r="G38" s="148"/>
      <c r="H38" s="148"/>
      <c r="I38" s="168"/>
    </row>
  </sheetData>
  <hyperlinks>
    <hyperlink ref="B22" location="'Outputs'!A1" display="Outputs" xr:uid="{DAD3CFF3-AF46-4943-BD62-D09FE0C85B90}"/>
    <hyperlink ref="B23" location="'Model'!A1" display="Model" xr:uid="{3BB2210C-BA98-486E-B7C6-8A5EAA01031A}"/>
    <hyperlink ref="B24" location="'Imputs Drivers'!A1" display="Imputs Drivers" xr:uid="{F422FF63-ECAC-42CC-8997-AA6DCDFAB75C}"/>
    <hyperlink ref="B25" location="'Imput Historical'!A1" display="Imput Historical" xr:uid="{A567A310-D142-4A40-B80F-378B3DE20EB6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121B-1EB7-4D3A-8BB3-A02379AB8D63}">
  <dimension ref="B3:O124"/>
  <sheetViews>
    <sheetView zoomScale="62" zoomScaleNormal="62" workbookViewId="0">
      <selection activeCell="K102" sqref="K102"/>
    </sheetView>
  </sheetViews>
  <sheetFormatPr baseColWidth="10" defaultRowHeight="14.25" outlineLevelRow="2"/>
  <cols>
    <col min="2" max="2" width="38.125" bestFit="1" customWidth="1"/>
  </cols>
  <sheetData>
    <row r="3" spans="2:15" ht="15">
      <c r="B3" s="5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5" spans="2:15" ht="15.75">
      <c r="B5" s="1"/>
      <c r="G5" s="2" t="s">
        <v>57</v>
      </c>
      <c r="H5" s="2" t="s">
        <v>58</v>
      </c>
      <c r="I5" s="2" t="s">
        <v>59</v>
      </c>
      <c r="J5" s="2" t="s">
        <v>60</v>
      </c>
      <c r="K5" s="3" t="s">
        <v>61</v>
      </c>
      <c r="L5" s="3" t="s">
        <v>62</v>
      </c>
      <c r="M5" s="3" t="s">
        <v>63</v>
      </c>
      <c r="N5" s="3" t="s">
        <v>64</v>
      </c>
      <c r="O5" s="3" t="s">
        <v>65</v>
      </c>
    </row>
    <row r="7" spans="2:15">
      <c r="B7" t="s">
        <v>1</v>
      </c>
      <c r="C7" t="s">
        <v>8</v>
      </c>
      <c r="G7" s="93">
        <f>Model!G158</f>
        <v>48560</v>
      </c>
      <c r="H7" s="93">
        <f>Model!H158</f>
        <v>51149</v>
      </c>
      <c r="I7" s="93">
        <f>Model!I158</f>
        <v>69660</v>
      </c>
      <c r="J7" s="93">
        <f>Model!J158</f>
        <v>115479</v>
      </c>
      <c r="K7" s="93">
        <f>Model!K158</f>
        <v>132800.84999999998</v>
      </c>
      <c r="L7" s="93">
        <f>Model!L158</f>
        <v>148736.95199999999</v>
      </c>
      <c r="M7" s="93">
        <f>Model!M158</f>
        <v>163610.64720000001</v>
      </c>
      <c r="N7" s="93">
        <f>Model!N158</f>
        <v>176699.49897600003</v>
      </c>
      <c r="O7" s="93">
        <f>Model!O158</f>
        <v>187301.46891456004</v>
      </c>
    </row>
    <row r="8" spans="2:15">
      <c r="B8" t="s">
        <v>2</v>
      </c>
      <c r="C8" t="s">
        <v>9</v>
      </c>
      <c r="G8" s="93"/>
      <c r="H8" s="93">
        <f>'Imput Historical'!H232</f>
        <v>43287.67123287671</v>
      </c>
      <c r="I8" s="93">
        <f>'Imput Historical'!I232</f>
        <v>60382.513661202189</v>
      </c>
      <c r="J8" s="93">
        <f>'Imput Historical'!J232</f>
        <v>100000</v>
      </c>
      <c r="K8" s="93">
        <f>K7*'Imput Historical'!$J$234</f>
        <v>114999.99999999999</v>
      </c>
      <c r="L8" s="93">
        <f>L7*'Imput Historical'!$J$234</f>
        <v>128800</v>
      </c>
      <c r="M8" s="93">
        <f>M7*'Imput Historical'!$J$234</f>
        <v>141680</v>
      </c>
      <c r="N8" s="93">
        <f>N7*'Imput Historical'!$J$234</f>
        <v>153014.40000000002</v>
      </c>
      <c r="O8" s="93">
        <f>O7*'Imput Historical'!$J$234</f>
        <v>162195.26400000005</v>
      </c>
    </row>
    <row r="9" spans="2:15">
      <c r="B9" t="s">
        <v>347</v>
      </c>
      <c r="C9" t="s">
        <v>8</v>
      </c>
      <c r="G9" s="93"/>
      <c r="H9" s="93">
        <f>H7-H8</f>
        <v>7861.3287671232902</v>
      </c>
      <c r="I9" s="93">
        <f>I7-I8</f>
        <v>9277.4863387978112</v>
      </c>
      <c r="J9" s="93">
        <f>J7-J8</f>
        <v>15479</v>
      </c>
      <c r="K9" s="93">
        <f>K7-K8</f>
        <v>17800.849999999991</v>
      </c>
      <c r="L9" s="93">
        <f>L7-L8</f>
        <v>19936.95199999999</v>
      </c>
      <c r="M9" s="93">
        <f>M7-M8</f>
        <v>21930.647200000007</v>
      </c>
      <c r="N9" s="93">
        <f>N7-N8</f>
        <v>23685.098976000008</v>
      </c>
      <c r="O9" s="93">
        <f>O7-O8</f>
        <v>25106.204914559989</v>
      </c>
    </row>
    <row r="10" spans="2:15">
      <c r="B10" t="s">
        <v>3</v>
      </c>
      <c r="C10" t="s">
        <v>10</v>
      </c>
      <c r="G10" s="97">
        <f>'Imput Historical'!G219</f>
        <v>72.2</v>
      </c>
      <c r="H10" s="97">
        <f>'Imput Historical'!H219</f>
        <v>66.7</v>
      </c>
      <c r="I10" s="97">
        <f>'Imput Historical'!I219</f>
        <v>69.2</v>
      </c>
      <c r="J10" s="97">
        <f>'Imput Historical'!J219</f>
        <v>62.9</v>
      </c>
      <c r="K10" s="97">
        <f>Model!K156*('Imput Historical'!J219/'Imput Historical'!J218)</f>
        <v>78.394428152492665</v>
      </c>
      <c r="L10" s="97">
        <f>Model!L156*('Imput Historical'!$J$219/'Imput Historical'!$J$218)</f>
        <v>75.62756598240469</v>
      </c>
      <c r="M10" s="97">
        <f>Model!M156*('Imput Historical'!$J$219/'Imput Historical'!$J$218)</f>
        <v>73.782991202346039</v>
      </c>
      <c r="N10" s="97">
        <f>Model!N156*('Imput Historical'!$J$219/'Imput Historical'!$J$218)</f>
        <v>71.938416422287389</v>
      </c>
      <c r="O10" s="97">
        <f>Model!O156*('Imput Historical'!$J$219/'Imput Historical'!$J$218)</f>
        <v>69.171554252199414</v>
      </c>
    </row>
    <row r="11" spans="2:15">
      <c r="B11" t="s">
        <v>4</v>
      </c>
      <c r="C11" t="s">
        <v>11</v>
      </c>
      <c r="G11" s="97">
        <f>Model!G157</f>
        <v>7.5</v>
      </c>
      <c r="H11" s="97">
        <f>Model!H157</f>
        <v>5.0999999999999996</v>
      </c>
      <c r="I11" s="97">
        <f>Model!I157</f>
        <v>4.5999999999999996</v>
      </c>
      <c r="J11" s="97">
        <f>Model!J157</f>
        <v>4.4000000000000004</v>
      </c>
      <c r="K11" s="97">
        <f>Model!K157</f>
        <v>4.3</v>
      </c>
      <c r="L11" s="97">
        <f>Model!L157</f>
        <v>4.0999999999999996</v>
      </c>
      <c r="M11" s="97">
        <f>Model!M157</f>
        <v>3.9</v>
      </c>
      <c r="N11" s="97">
        <f>Model!N157</f>
        <v>3.7</v>
      </c>
      <c r="O11" s="97">
        <f>Model!O157</f>
        <v>3.5</v>
      </c>
    </row>
    <row r="12" spans="2:15">
      <c r="B12" t="s">
        <v>348</v>
      </c>
      <c r="C12" t="s">
        <v>11</v>
      </c>
      <c r="G12" s="97">
        <f>IFERROR(-Model!G13*1000/(G7*365),"")</f>
        <v>10.645042991582226</v>
      </c>
      <c r="H12" s="97">
        <f>IFERROR(-Model!H13*1000/(H7*365),"")</f>
        <v>9.4707458226395786</v>
      </c>
      <c r="I12" s="97">
        <f>IFERROR(-Model!I13*1000/(I7*365),"")</f>
        <v>9.5945472923279027</v>
      </c>
      <c r="J12" s="97">
        <f>IFERROR(-Model!J13*1000/(J7*365),"")</f>
        <v>8.1933654070057447</v>
      </c>
      <c r="K12" s="97">
        <f>IFERROR(-Model!K13*1000/(K7*365),"")</f>
        <v>10.21167242808634</v>
      </c>
      <c r="L12" s="97">
        <f>IFERROR(-Model!L13*1000/(L7*365),"")</f>
        <v>9.8512604600362348</v>
      </c>
      <c r="M12" s="97">
        <f>IFERROR(-Model!M13*1000/(M7*365),"")</f>
        <v>9.6109858146694975</v>
      </c>
      <c r="N12" s="97">
        <f>IFERROR(-Model!N13*1000/(N7*365),"")</f>
        <v>9.3707111693027585</v>
      </c>
      <c r="O12" s="97">
        <f>IFERROR(-Model!O13*1000/(O7*365),"")</f>
        <v>9.0102992012526535</v>
      </c>
    </row>
    <row r="13" spans="2:15">
      <c r="B13" t="s">
        <v>5</v>
      </c>
      <c r="C13" t="s">
        <v>11</v>
      </c>
      <c r="G13" s="97">
        <f>IFERROR(-Model!G19*1000/(G7*365),"")</f>
        <v>3.3797476924465708</v>
      </c>
      <c r="H13" s="97">
        <f>IFERROR(-Model!H19*1000/(H7*365),"")</f>
        <v>3.684749122694722</v>
      </c>
      <c r="I13" s="97">
        <f>IFERROR(-Model!I19*1000/(I7*365),"")</f>
        <v>5.5193326489917762</v>
      </c>
      <c r="J13" s="97">
        <f>IFERROR(-Model!J19*1000/(J7*365),"")</f>
        <v>5.1737331830599098</v>
      </c>
      <c r="K13" s="97">
        <f>IFERROR(-Model!K19*1000/(K7*365),"")</f>
        <v>6.448201181233026</v>
      </c>
      <c r="L13" s="97">
        <f>IFERROR(-Model!L19*1000/(L7*365),"")</f>
        <v>6.2206176101306845</v>
      </c>
      <c r="M13" s="97">
        <f>IFERROR(-Model!M19*1000/(M7*365),"")</f>
        <v>6.0688952293957907</v>
      </c>
      <c r="N13" s="97">
        <f>IFERROR(-Model!N19*1000/(N7*365),"")</f>
        <v>5.9171728486608943</v>
      </c>
      <c r="O13" s="97">
        <f>IFERROR(-Model!O19*1000/(O7*365),"")</f>
        <v>5.6895892775585519</v>
      </c>
    </row>
    <row r="14" spans="2:15">
      <c r="B14" t="s">
        <v>6</v>
      </c>
      <c r="C14" t="s">
        <v>11</v>
      </c>
      <c r="G14" s="97">
        <f>IFERROR(G11+G12+G13,"")</f>
        <v>21.524790684028797</v>
      </c>
      <c r="H14" s="97">
        <f t="shared" ref="H14:K14" si="0">IFERROR(H11+H12+H13,"")</f>
        <v>18.255494945334299</v>
      </c>
      <c r="I14" s="97">
        <f t="shared" si="0"/>
        <v>19.713879941319679</v>
      </c>
      <c r="J14" s="97">
        <f t="shared" si="0"/>
        <v>17.767098590065654</v>
      </c>
      <c r="K14" s="97">
        <f t="shared" si="0"/>
        <v>20.959873609319366</v>
      </c>
      <c r="L14" s="97">
        <f t="shared" ref="L14:O14" si="1">IFERROR(L11+L12+L13,"")</f>
        <v>20.171878070166919</v>
      </c>
      <c r="M14" s="97">
        <f t="shared" si="1"/>
        <v>19.579881044065289</v>
      </c>
      <c r="N14" s="97">
        <f t="shared" si="1"/>
        <v>18.987884017963651</v>
      </c>
      <c r="O14" s="97">
        <f t="shared" si="1"/>
        <v>18.199888478811204</v>
      </c>
    </row>
    <row r="15" spans="2:15">
      <c r="B15" t="s">
        <v>7</v>
      </c>
      <c r="C15" t="s">
        <v>11</v>
      </c>
      <c r="G15" s="97">
        <f>IFERROR(Model!G26*1000/(G7*365),"")</f>
        <v>41.786012502538874</v>
      </c>
      <c r="H15" s="97">
        <f>IFERROR(Model!H26*1000/(H7*365),"")</f>
        <v>40.490192901373021</v>
      </c>
      <c r="I15" s="97">
        <f>IFERROR(Model!I26*1000/(I7*365),"")</f>
        <v>40.886890926181572</v>
      </c>
      <c r="J15" s="97">
        <f>IFERROR(Model!J26*1000/(J7*365),"")</f>
        <v>37.4044168856177</v>
      </c>
      <c r="K15" s="97">
        <f>IFERROR(Model!K26*1000/(K7*365),"")</f>
        <v>47.797924818167203</v>
      </c>
      <c r="L15" s="97">
        <f>IFERROR(Model!L26*1000/(L7*365),"")</f>
        <v>46.159560946465916</v>
      </c>
      <c r="M15" s="97">
        <f>IFERROR(Model!M26*1000/(M7*365),"")</f>
        <v>45.134519102890984</v>
      </c>
      <c r="N15" s="97">
        <f>IFERROR(Model!N26*1000/(N7*365),"")</f>
        <v>44.109477259316023</v>
      </c>
      <c r="O15" s="97">
        <f>IFERROR(Model!O26*1000/(O7*365),"")</f>
        <v>42.471113387614743</v>
      </c>
    </row>
    <row r="16" spans="2:15">
      <c r="B16" t="s">
        <v>349</v>
      </c>
      <c r="C16" t="s">
        <v>12</v>
      </c>
      <c r="G16" s="182"/>
      <c r="H16" s="182"/>
      <c r="I16" s="182">
        <f>'Imput Historical'!I230</f>
        <v>50</v>
      </c>
      <c r="J16" s="182">
        <f>'Imput Historical'!J230</f>
        <v>74</v>
      </c>
      <c r="K16" s="182"/>
      <c r="L16" s="182"/>
      <c r="M16" s="182"/>
      <c r="N16" s="182"/>
      <c r="O16" s="182"/>
    </row>
    <row r="17" spans="2:15">
      <c r="B17" s="173" t="s">
        <v>350</v>
      </c>
    </row>
    <row r="19" spans="2:15" ht="15">
      <c r="B19" s="5" t="s">
        <v>13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6"/>
    </row>
    <row r="21" spans="2:15" ht="15.75">
      <c r="B21" s="1"/>
      <c r="G21" s="2" t="s">
        <v>57</v>
      </c>
      <c r="H21" s="2" t="s">
        <v>58</v>
      </c>
      <c r="I21" s="2" t="s">
        <v>59</v>
      </c>
      <c r="J21" s="2" t="s">
        <v>60</v>
      </c>
      <c r="K21" s="3" t="s">
        <v>61</v>
      </c>
      <c r="L21" s="3" t="s">
        <v>62</v>
      </c>
      <c r="M21" s="3" t="s">
        <v>63</v>
      </c>
      <c r="N21" s="3" t="s">
        <v>64</v>
      </c>
      <c r="O21" s="3" t="s">
        <v>65</v>
      </c>
    </row>
    <row r="23" spans="2:15">
      <c r="B23" t="s">
        <v>14</v>
      </c>
      <c r="C23" t="s">
        <v>26</v>
      </c>
      <c r="G23" s="93">
        <f>Model!G7/1000</f>
        <v>1187.6600000000001</v>
      </c>
      <c r="H23" s="93">
        <f>Model!H7/1000</f>
        <v>1168.7739999999999</v>
      </c>
      <c r="I23" s="93">
        <f>Model!I7/1000</f>
        <v>1647.768</v>
      </c>
      <c r="J23" s="93">
        <f>Model!J7/1000</f>
        <v>2474.1970000000001</v>
      </c>
      <c r="K23" s="93">
        <f>Model!K7/1000</f>
        <v>3546.2281048387094</v>
      </c>
      <c r="L23" s="93">
        <f>Model!L7/1000</f>
        <v>3831.5951664516128</v>
      </c>
      <c r="M23" s="93">
        <f>Model!M7/1000</f>
        <v>4111.9557883870975</v>
      </c>
      <c r="N23" s="93">
        <f>Model!N7/1000</f>
        <v>4329.8894451716142</v>
      </c>
      <c r="O23" s="93">
        <f>Model!O7/1000</f>
        <v>4413.1565498864529</v>
      </c>
    </row>
    <row r="24" spans="2:15">
      <c r="B24" t="s">
        <v>15</v>
      </c>
      <c r="C24" t="s">
        <v>26</v>
      </c>
      <c r="G24" s="93">
        <f>(Model!G17-Model!G7)/1000</f>
        <v>-557.42399999999998</v>
      </c>
      <c r="H24" s="93">
        <f>(Model!H17-Model!H7)/1000</f>
        <v>-577.52499999999998</v>
      </c>
      <c r="I24" s="93">
        <f>(Model!I17-Model!I7)/1000</f>
        <v>-830.02499999999998</v>
      </c>
      <c r="J24" s="93">
        <f>(Model!J17-Model!J7)/1000</f>
        <v>-1299.1669999999999</v>
      </c>
      <c r="K24" s="93">
        <f>(Model!K17-Model!K7)/1000</f>
        <v>-1553.3494709805716</v>
      </c>
      <c r="L24" s="93">
        <f>(Model!L17-Model!L7)/1000</f>
        <v>-1709.2402266771262</v>
      </c>
      <c r="M24" s="93">
        <f>(Model!M17-Model!M7)/1000</f>
        <v>-1853.7762974093548</v>
      </c>
      <c r="N24" s="93">
        <f>(Model!N17-Model!N7)/1000</f>
        <v>-1973.5794131117812</v>
      </c>
      <c r="O24" s="93">
        <f>(Model!O17-Model!O7)/1000</f>
        <v>-2053.5720581140749</v>
      </c>
    </row>
    <row r="25" spans="2:15">
      <c r="B25" t="s">
        <v>16</v>
      </c>
      <c r="C25" t="s">
        <v>26</v>
      </c>
      <c r="G25" s="93">
        <f>Model!G17/1000</f>
        <v>630.23599999999999</v>
      </c>
      <c r="H25" s="93">
        <f>Model!H17/1000</f>
        <v>591.24900000000002</v>
      </c>
      <c r="I25" s="93">
        <f>Model!I17/1000</f>
        <v>817.74300000000005</v>
      </c>
      <c r="J25" s="93">
        <f>Model!J17/1000</f>
        <v>1175.03</v>
      </c>
      <c r="K25" s="93">
        <f>Model!K17/1000</f>
        <v>1992.8786338581378</v>
      </c>
      <c r="L25" s="93">
        <f>Model!L17/1000</f>
        <v>2122.3549397744869</v>
      </c>
      <c r="M25" s="93">
        <f>Model!M17/1000</f>
        <v>2258.1794909777427</v>
      </c>
      <c r="N25" s="93">
        <f>Model!N17/1000</f>
        <v>2356.3100320598328</v>
      </c>
      <c r="O25" s="93">
        <f>Model!O17/1000</f>
        <v>2359.584491772378</v>
      </c>
    </row>
    <row r="26" spans="2:15">
      <c r="B26" t="s">
        <v>17</v>
      </c>
      <c r="C26" t="s">
        <v>27</v>
      </c>
      <c r="G26" s="94">
        <f>IFERROR(Model!G17/Model!G7,"")</f>
        <v>0.53065355404745462</v>
      </c>
      <c r="H26" s="94">
        <f>IFERROR(Model!H17/Model!H7,"")</f>
        <v>0.5058711093847057</v>
      </c>
      <c r="I26" s="94">
        <f>IFERROR(Model!I17/Model!I7,"")</f>
        <v>0.49627314039355053</v>
      </c>
      <c r="J26" s="94">
        <f>IFERROR(Model!J17/Model!J7,"")</f>
        <v>0.47491367906435905</v>
      </c>
      <c r="K26" s="94">
        <f>IFERROR(Model!K17/Model!K7,"")</f>
        <v>0.56197136082107113</v>
      </c>
      <c r="L26" s="94">
        <f>IFERROR(Model!L17/Model!L7,"")</f>
        <v>0.55390897200133227</v>
      </c>
      <c r="M26" s="94">
        <f>IFERROR(Model!M17/Model!M7,"")</f>
        <v>0.54917406878625685</v>
      </c>
      <c r="N26" s="94">
        <f>IFERROR(Model!N17/Model!N7,"")</f>
        <v>0.54419635002168998</v>
      </c>
      <c r="O26" s="94">
        <f>IFERROR(Model!O17/Model!O7,"")</f>
        <v>0.53467047114680033</v>
      </c>
    </row>
    <row r="27" spans="2:15">
      <c r="B27" t="s">
        <v>18</v>
      </c>
      <c r="C27" t="s">
        <v>26</v>
      </c>
      <c r="G27" s="93">
        <f>Model!G26/1000</f>
        <v>740.63199999999995</v>
      </c>
      <c r="H27" s="93">
        <f>Model!H26/1000</f>
        <v>755.92700000000002</v>
      </c>
      <c r="I27" s="93">
        <f>Model!I26/1000</f>
        <v>1039.586</v>
      </c>
      <c r="J27" s="93">
        <f>Model!J26/1000</f>
        <v>1576.59</v>
      </c>
      <c r="K27" s="93">
        <f>Model!K26/1000</f>
        <v>2316.8758410923751</v>
      </c>
      <c r="L27" s="93">
        <f>Model!L26/1000</f>
        <v>2505.9558263049853</v>
      </c>
      <c r="M27" s="93">
        <f>Model!M26/1000</f>
        <v>2695.3380767419362</v>
      </c>
      <c r="N27" s="93">
        <f>Model!N26/1000</f>
        <v>2844.8547241122592</v>
      </c>
      <c r="O27" s="93">
        <f>Model!O26/1000</f>
        <v>2903.5392022370334</v>
      </c>
    </row>
    <row r="28" spans="2:15">
      <c r="B28" t="s">
        <v>19</v>
      </c>
      <c r="C28" t="s">
        <v>27</v>
      </c>
      <c r="G28" s="94">
        <f>IFERROR(Model!G26/Model!G7,"")</f>
        <v>0.62360608254887762</v>
      </c>
      <c r="H28" s="94">
        <f>IFERROR(Model!H26/Model!H7,"")</f>
        <v>0.64676917864360428</v>
      </c>
      <c r="I28" s="94">
        <f>IFERROR(Model!I26/Model!I7,"")</f>
        <v>0.63090556437556744</v>
      </c>
      <c r="J28" s="94">
        <f>IFERROR(Model!J26/Model!J7,"")</f>
        <v>0.63721280075919584</v>
      </c>
      <c r="K28" s="94">
        <f>IFERROR(Model!K26/Model!K7,"")</f>
        <v>0.65333525441611484</v>
      </c>
      <c r="L28" s="94">
        <f>IFERROR(Model!L26/Model!L7,"")</f>
        <v>0.6540241642035779</v>
      </c>
      <c r="M28" s="94">
        <f>IFERROR(Model!M26/Model!M7,"")</f>
        <v>0.65548809750193704</v>
      </c>
      <c r="N28" s="94">
        <f>IFERROR(Model!N26/Model!N7,"")</f>
        <v>0.657027104302776</v>
      </c>
      <c r="O28" s="94">
        <f>IFERROR(Model!O26/Model!O7,"")</f>
        <v>0.65792798633253535</v>
      </c>
    </row>
    <row r="29" spans="2:15">
      <c r="B29" t="s">
        <v>20</v>
      </c>
      <c r="C29" t="s">
        <v>26</v>
      </c>
      <c r="G29" s="93">
        <f>Model!G14/1000</f>
        <v>-234.86199999999999</v>
      </c>
      <c r="H29" s="93">
        <f>Model!H14/1000</f>
        <v>-276.43</v>
      </c>
      <c r="I29" s="93">
        <f>Model!I14/1000</f>
        <v>-437.69900000000001</v>
      </c>
      <c r="J29" s="93">
        <f>Model!J14/1000</f>
        <v>-738.90300000000002</v>
      </c>
      <c r="K29" s="93">
        <f>Model!K14/1000</f>
        <v>-848.26542937499983</v>
      </c>
      <c r="L29" s="93">
        <f>Model!L14/1000</f>
        <v>-950.05728090000002</v>
      </c>
      <c r="M29" s="93">
        <f>Model!M14/1000</f>
        <v>-1045.0630089900001</v>
      </c>
      <c r="N29" s="93">
        <f>Model!N14/1000</f>
        <v>-1128.6680497092004</v>
      </c>
      <c r="O29" s="93">
        <f>Model!O14/1000</f>
        <v>-1196.3881326917524</v>
      </c>
    </row>
    <row r="30" spans="2:15">
      <c r="B30" t="s">
        <v>21</v>
      </c>
      <c r="C30" t="s">
        <v>26</v>
      </c>
      <c r="G30" s="93">
        <f>Model!G27/1000</f>
        <v>529.14700000000005</v>
      </c>
      <c r="H30" s="93">
        <f>Model!H27/1000</f>
        <v>631.48699999999997</v>
      </c>
      <c r="I30" s="93">
        <f>Model!I27/1000</f>
        <v>625.39</v>
      </c>
      <c r="J30" s="93">
        <f>Model!J27/1000</f>
        <v>1250.83</v>
      </c>
      <c r="K30" s="93">
        <f>Model!K27/1000</f>
        <v>1468.6104117173752</v>
      </c>
      <c r="L30" s="93">
        <f>Model!L27/1000</f>
        <v>1555.8985454049853</v>
      </c>
      <c r="M30" s="93">
        <f>Model!M27/1000</f>
        <v>1650.2750677519361</v>
      </c>
      <c r="N30" s="93">
        <f>Model!N27/1000</f>
        <v>1716.1866744030585</v>
      </c>
      <c r="O30" s="93">
        <f>Model!O27/1000</f>
        <v>1707.151069545281</v>
      </c>
    </row>
    <row r="31" spans="2:15">
      <c r="B31" t="s">
        <v>22</v>
      </c>
      <c r="C31" t="s">
        <v>27</v>
      </c>
      <c r="G31" s="94">
        <f>IFERROR(Model!G27/Model!G7,"")</f>
        <v>0.44553744337605039</v>
      </c>
      <c r="H31" s="94">
        <f>IFERROR(Model!H27/Model!H7,"")</f>
        <v>0.54029863771781372</v>
      </c>
      <c r="I31" s="94">
        <f>IFERROR(Model!I27/Model!I7,"")</f>
        <v>0.379537653358968</v>
      </c>
      <c r="J31" s="94">
        <f>IFERROR(Model!J27/Model!J7,"")</f>
        <v>0.5055498814362801</v>
      </c>
      <c r="K31" s="94">
        <f>IFERROR(Model!K27/Model!K7,"")</f>
        <v>0.4141330924859305</v>
      </c>
      <c r="L31" s="94">
        <f>IFERROR(Model!L27/Model!L7,"")</f>
        <v>0.40607070366619169</v>
      </c>
      <c r="M31" s="94">
        <f>IFERROR(Model!M27/Model!M7,"")</f>
        <v>0.40133580045111616</v>
      </c>
      <c r="N31" s="94">
        <f>IFERROR(Model!N27/Model!N7,"")</f>
        <v>0.39635808168654935</v>
      </c>
      <c r="O31" s="94">
        <f>IFERROR(Model!O27/Model!O7,"")</f>
        <v>0.38683220281165975</v>
      </c>
    </row>
    <row r="32" spans="2:15">
      <c r="B32" t="s">
        <v>23</v>
      </c>
      <c r="C32" t="s">
        <v>26</v>
      </c>
      <c r="G32" s="93">
        <f>Model!G42/1000</f>
        <v>269.53500000000003</v>
      </c>
      <c r="H32" s="93">
        <f>Model!H42/1000</f>
        <v>396.95499999999998</v>
      </c>
      <c r="I32" s="93">
        <f>Model!I42/1000</f>
        <v>477.52100000000002</v>
      </c>
      <c r="J32" s="93">
        <f>Model!J42/1000</f>
        <v>719.06299999999999</v>
      </c>
      <c r="K32" s="93">
        <f>Model!K42/1000</f>
        <v>873.74468770216265</v>
      </c>
      <c r="L32" s="93">
        <f>Model!L42/1000</f>
        <v>948.48008614093715</v>
      </c>
      <c r="M32" s="93">
        <f>Model!M42/1000</f>
        <v>1033.6708098997563</v>
      </c>
      <c r="N32" s="93">
        <f>Model!N42/1000</f>
        <v>1104.8249045917576</v>
      </c>
      <c r="O32" s="93">
        <f>Model!O42/1000</f>
        <v>1128.9243297468952</v>
      </c>
    </row>
    <row r="33" spans="2:15">
      <c r="B33" t="s">
        <v>24</v>
      </c>
      <c r="C33" t="s">
        <v>27</v>
      </c>
      <c r="G33" s="94">
        <f>IFERROR(Model!G42/Model!G7,"")</f>
        <v>0.22694626408231311</v>
      </c>
      <c r="H33" s="94">
        <f>IFERROR(Model!H42/Model!H7,"")</f>
        <v>0.33963366741559958</v>
      </c>
      <c r="I33" s="94">
        <f>IFERROR(Model!I42/Model!I7,"")</f>
        <v>0.2897986852518073</v>
      </c>
      <c r="J33" s="94">
        <f>IFERROR(Model!J42/Model!J7,"")</f>
        <v>0.29062479665119634</v>
      </c>
      <c r="K33" s="94">
        <f>IFERROR(Model!K42/Model!K7,"")</f>
        <v>0.24638705178326439</v>
      </c>
      <c r="L33" s="94">
        <f>IFERROR(Model!L42/Model!L7,"")</f>
        <v>0.24754183177950698</v>
      </c>
      <c r="M33" s="94">
        <f>IFERROR(Model!M42/Model!M7,"")</f>
        <v>0.25138179083029749</v>
      </c>
      <c r="N33" s="94">
        <f>IFERROR(Model!N42/Model!N7,"")</f>
        <v>0.25516238199194208</v>
      </c>
      <c r="O33" s="94">
        <f>IFERROR(Model!O42/Model!O7,"")</f>
        <v>0.25580881099174729</v>
      </c>
    </row>
    <row r="34" spans="2:15">
      <c r="B34" t="s">
        <v>25</v>
      </c>
      <c r="C34" t="s">
        <v>28</v>
      </c>
      <c r="G34" s="96">
        <f>Model!G47</f>
        <v>2.7549999999999999</v>
      </c>
      <c r="H34" s="96">
        <f>Model!H47</f>
        <v>4</v>
      </c>
      <c r="I34" s="96">
        <f>Model!I47</f>
        <v>4.633</v>
      </c>
      <c r="J34" s="96">
        <f>Model!J47</f>
        <v>6.7069999999999999</v>
      </c>
      <c r="K34" s="96">
        <f>Model!K47</f>
        <v>8.1497805066015143</v>
      </c>
      <c r="L34" s="96">
        <f>Model!L47</f>
        <v>8.8468686857024554</v>
      </c>
      <c r="M34" s="96">
        <f>Model!M47</f>
        <v>9.6414780373870794</v>
      </c>
      <c r="N34" s="96">
        <f>Model!N47</f>
        <v>10.305161905280785</v>
      </c>
      <c r="O34" s="96">
        <f>Model!O47</f>
        <v>10.529947278072195</v>
      </c>
    </row>
    <row r="37" spans="2:15" ht="15">
      <c r="B37" s="5" t="s">
        <v>29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6"/>
    </row>
    <row r="39" spans="2:15" ht="15.75">
      <c r="B39" s="1"/>
      <c r="G39" s="2" t="s">
        <v>57</v>
      </c>
      <c r="H39" s="2" t="s">
        <v>58</v>
      </c>
      <c r="I39" s="2" t="s">
        <v>59</v>
      </c>
      <c r="J39" s="2" t="s">
        <v>60</v>
      </c>
      <c r="K39" s="3" t="s">
        <v>61</v>
      </c>
      <c r="L39" s="3" t="s">
        <v>62</v>
      </c>
      <c r="M39" s="3" t="s">
        <v>63</v>
      </c>
      <c r="N39" s="3" t="s">
        <v>64</v>
      </c>
      <c r="O39" s="3" t="s">
        <v>65</v>
      </c>
    </row>
    <row r="41" spans="2:15">
      <c r="B41" t="s">
        <v>30</v>
      </c>
      <c r="C41" t="s">
        <v>26</v>
      </c>
      <c r="G41" s="93">
        <f>Model!G130/1000</f>
        <v>689.77099999999996</v>
      </c>
      <c r="H41" s="93">
        <f>Model!H130/1000</f>
        <v>712.03300000000002</v>
      </c>
      <c r="I41" s="93">
        <f>Model!I130/1000</f>
        <v>959.02599999999995</v>
      </c>
      <c r="J41" s="93">
        <f>Model!J130/1000</f>
        <v>796.19100000000003</v>
      </c>
      <c r="K41" s="93">
        <f>Model!K130/1000</f>
        <v>1674.2240408308282</v>
      </c>
      <c r="L41" s="93">
        <f>Model!L130/1000</f>
        <v>1885.817053140644</v>
      </c>
      <c r="M41" s="93">
        <f>Model!M130/1000</f>
        <v>2066.2366683912223</v>
      </c>
      <c r="N41" s="93">
        <f>Model!N130/1000</f>
        <v>2223.7785026467641</v>
      </c>
      <c r="O41" s="93">
        <f>Model!O130/1000</f>
        <v>2321.600808740583</v>
      </c>
    </row>
    <row r="42" spans="2:15">
      <c r="B42" t="s">
        <v>31</v>
      </c>
      <c r="C42" t="s">
        <v>26</v>
      </c>
      <c r="G42" s="93">
        <f>Model!G136/1000</f>
        <v>-582.71199999999999</v>
      </c>
      <c r="H42" s="93">
        <f>Model!H136/1000</f>
        <v>-699.31299999999999</v>
      </c>
      <c r="I42" s="93">
        <f>Model!I136/1000</f>
        <v>-1051.876</v>
      </c>
      <c r="J42" s="93">
        <f>Model!J136/1000</f>
        <v>-2349.0639999999999</v>
      </c>
      <c r="K42" s="93">
        <f>Model!K136/1000</f>
        <v>-1550</v>
      </c>
      <c r="L42" s="93">
        <f>Model!L136/1000</f>
        <v>-1500</v>
      </c>
      <c r="M42" s="93">
        <f>Model!M136/1000</f>
        <v>-1400</v>
      </c>
      <c r="N42" s="93">
        <f>Model!N136/1000</f>
        <v>-1300</v>
      </c>
      <c r="O42" s="93">
        <f>Model!O136/1000</f>
        <v>-1200</v>
      </c>
    </row>
    <row r="43" spans="2:15">
      <c r="B43" t="s">
        <v>32</v>
      </c>
      <c r="C43" t="s">
        <v>26</v>
      </c>
      <c r="G43" s="93">
        <f>Model!G133/1000</f>
        <v>-479.02499999999998</v>
      </c>
      <c r="H43" s="93">
        <f>Model!H133/1000</f>
        <v>-688.43700000000001</v>
      </c>
      <c r="I43" s="93">
        <f>Model!I133/1000</f>
        <v>-1052.53</v>
      </c>
      <c r="J43" s="93">
        <f>Model!J133/1000</f>
        <v>-1455.4110000000001</v>
      </c>
      <c r="K43" s="93">
        <f>Model!K133/1000</f>
        <v>-1550</v>
      </c>
      <c r="L43" s="93">
        <f>Model!L133/1000</f>
        <v>-1500</v>
      </c>
      <c r="M43" s="93">
        <f>Model!M133/1000</f>
        <v>-1400</v>
      </c>
      <c r="N43" s="93">
        <f>Model!N133/1000</f>
        <v>-1300</v>
      </c>
      <c r="O43" s="93">
        <f>Model!O133/1000</f>
        <v>-1200</v>
      </c>
    </row>
    <row r="44" spans="2:15">
      <c r="B44" t="s">
        <v>33</v>
      </c>
      <c r="C44" t="s">
        <v>26</v>
      </c>
      <c r="G44" s="93">
        <f>Model!G144/1000</f>
        <v>-143.20099999999999</v>
      </c>
      <c r="H44" s="93">
        <f>Model!H144/1000</f>
        <v>19.556000000000001</v>
      </c>
      <c r="I44" s="93">
        <f>Model!I144/1000</f>
        <v>641.21100000000001</v>
      </c>
      <c r="J44" s="93">
        <f>Model!J144/1000</f>
        <v>1327.54</v>
      </c>
      <c r="K44" s="93">
        <f>Model!K144/1000</f>
        <v>-350</v>
      </c>
      <c r="L44" s="93">
        <f>Model!L144/1000</f>
        <v>-350</v>
      </c>
      <c r="M44" s="93">
        <f>Model!M144/1000</f>
        <v>-350</v>
      </c>
      <c r="N44" s="93">
        <f>Model!N144/1000</f>
        <v>-350</v>
      </c>
      <c r="O44" s="93">
        <f>Model!O144/1000</f>
        <v>-350</v>
      </c>
    </row>
    <row r="45" spans="2:15">
      <c r="B45" t="s">
        <v>34</v>
      </c>
      <c r="C45" t="s">
        <v>26</v>
      </c>
      <c r="G45" s="93">
        <f>Model!G146/1000</f>
        <v>-36.142000000000003</v>
      </c>
      <c r="H45" s="93">
        <f>Model!H146/1000</f>
        <v>32.276000000000003</v>
      </c>
      <c r="I45" s="93">
        <f>Model!I146/1000</f>
        <v>548.36099999999999</v>
      </c>
      <c r="J45" s="93">
        <f>Model!J146/1000</f>
        <v>-225.333</v>
      </c>
      <c r="K45" s="93">
        <f>Model!K146/1000</f>
        <v>-225.77595916917176</v>
      </c>
      <c r="L45" s="93">
        <f>Model!L146/1000</f>
        <v>35.817053140643985</v>
      </c>
      <c r="M45" s="93">
        <f>Model!M146/1000</f>
        <v>316.23666839122239</v>
      </c>
      <c r="N45" s="93">
        <f>Model!N146/1000</f>
        <v>573.77850264676431</v>
      </c>
      <c r="O45" s="93">
        <f>Model!O146/1000</f>
        <v>771.60080874058326</v>
      </c>
    </row>
    <row r="46" spans="2:15">
      <c r="B46" t="s">
        <v>326</v>
      </c>
      <c r="C46" t="s">
        <v>26</v>
      </c>
      <c r="G46" s="93">
        <f>Model!G151/1000</f>
        <v>210.74600000000001</v>
      </c>
      <c r="H46" s="93">
        <f>Model!H151/1000</f>
        <v>23.596</v>
      </c>
      <c r="I46" s="93">
        <f>Model!I151/1000</f>
        <v>-93.504000000000005</v>
      </c>
      <c r="J46" s="93">
        <f>Model!J151/1000</f>
        <v>-659.22</v>
      </c>
      <c r="K46" s="93">
        <f>Model!K151/1000</f>
        <v>124.22404083082824</v>
      </c>
      <c r="L46" s="93">
        <f>Model!L151/1000</f>
        <v>385.81705314064396</v>
      </c>
      <c r="M46" s="93">
        <f>Model!M151/1000</f>
        <v>666.23666839122234</v>
      </c>
      <c r="N46" s="93">
        <f>Model!N151/1000</f>
        <v>923.77850264676431</v>
      </c>
      <c r="O46" s="93">
        <f>Model!O151/1000</f>
        <v>1121.6008087405833</v>
      </c>
    </row>
    <row r="47" spans="2:15">
      <c r="B47" t="s">
        <v>35</v>
      </c>
      <c r="C47" t="s">
        <v>27</v>
      </c>
      <c r="G47" s="94">
        <f>IFERROR(Model!G151/Model!G7,"")</f>
        <v>0.17744640722092181</v>
      </c>
      <c r="H47" s="94">
        <f>IFERROR(Model!H151/Model!H7,"")</f>
        <v>2.0188676339480516E-2</v>
      </c>
      <c r="I47" s="94">
        <f>IFERROR(Model!I151/Model!I7,"")</f>
        <v>-5.674585257147851E-2</v>
      </c>
      <c r="J47" s="94">
        <f>IFERROR(Model!J151/Model!J7,"")</f>
        <v>-0.2664379594672534</v>
      </c>
      <c r="K47" s="94">
        <f>IFERROR(Model!K151/Model!K7,"")</f>
        <v>3.5029907033145645E-2</v>
      </c>
      <c r="L47" s="94">
        <f>IFERROR(Model!L151/Model!L7,"")</f>
        <v>0.10069358488567669</v>
      </c>
      <c r="M47" s="94">
        <f>IFERROR(Model!M151/Model!M7,"")</f>
        <v>0.16202427814831924</v>
      </c>
      <c r="N47" s="94">
        <f>IFERROR(Model!N151/Model!N7,"")</f>
        <v>0.21334921234002791</v>
      </c>
      <c r="O47" s="94">
        <f>IFERROR(Model!O151/Model!O7,"")</f>
        <v>0.25414933643571769</v>
      </c>
    </row>
    <row r="50" spans="2:15" ht="15">
      <c r="B50" s="5" t="s">
        <v>36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6"/>
    </row>
    <row r="52" spans="2:15" ht="15.75">
      <c r="B52" s="1"/>
      <c r="G52" s="2" t="s">
        <v>57</v>
      </c>
      <c r="H52" s="2" t="s">
        <v>58</v>
      </c>
      <c r="I52" s="2" t="s">
        <v>59</v>
      </c>
      <c r="J52" s="2" t="s">
        <v>60</v>
      </c>
      <c r="K52" s="3" t="s">
        <v>61</v>
      </c>
      <c r="L52" s="3" t="s">
        <v>62</v>
      </c>
      <c r="M52" s="3" t="s">
        <v>63</v>
      </c>
      <c r="N52" s="3" t="s">
        <v>64</v>
      </c>
      <c r="O52" s="3" t="s">
        <v>65</v>
      </c>
    </row>
    <row r="54" spans="2:15">
      <c r="B54" t="s">
        <v>37</v>
      </c>
      <c r="C54" t="s">
        <v>26</v>
      </c>
      <c r="G54" s="93">
        <f>Model!G72/1000</f>
        <v>244.38499999999999</v>
      </c>
      <c r="H54" s="93">
        <f>Model!H72/1000</f>
        <v>213.25299999999999</v>
      </c>
      <c r="I54" s="93">
        <f>Model!I72/1000</f>
        <v>764.30700000000002</v>
      </c>
      <c r="J54" s="93">
        <f>Model!J72/1000</f>
        <v>538.40200000000004</v>
      </c>
      <c r="K54" s="93">
        <f>Model!K72/1000</f>
        <v>312.62604083082823</v>
      </c>
      <c r="L54" s="93">
        <f>Model!L72/1000</f>
        <v>348.44309397147225</v>
      </c>
      <c r="M54" s="93">
        <f>Model!M72/1000</f>
        <v>664.67976236269465</v>
      </c>
      <c r="N54" s="93">
        <f>Model!N72/1000</f>
        <v>1238.458265009459</v>
      </c>
      <c r="O54" s="93">
        <f>Model!O72/1000</f>
        <v>2010.0590737500422</v>
      </c>
    </row>
    <row r="55" spans="2:15">
      <c r="B55" t="s">
        <v>38</v>
      </c>
      <c r="C55" t="s">
        <v>26</v>
      </c>
      <c r="G55" s="93">
        <f>Model!G75/1000</f>
        <v>2037.979</v>
      </c>
      <c r="H55" s="93">
        <f>Model!H75/1000</f>
        <v>2598.0030000000002</v>
      </c>
      <c r="I55" s="93">
        <f>Model!I75/1000</f>
        <v>4232.3720000000003</v>
      </c>
      <c r="J55" s="93">
        <f>Model!J75/1000</f>
        <v>7112.8530000000001</v>
      </c>
      <c r="K55" s="93">
        <f>Model!K75/1000</f>
        <v>7905.1803240657991</v>
      </c>
      <c r="L55" s="93">
        <f>Model!L75/1000</f>
        <v>8575.1551992976438</v>
      </c>
      <c r="M55" s="93">
        <f>Model!M75/1000</f>
        <v>9329.0665037428553</v>
      </c>
      <c r="N55" s="93">
        <f>Model!N75/1000</f>
        <v>10138.491686094614</v>
      </c>
      <c r="O55" s="93">
        <f>Model!O75/1000</f>
        <v>10938.27744272151</v>
      </c>
    </row>
    <row r="56" spans="2:15">
      <c r="B56" t="s">
        <v>39</v>
      </c>
      <c r="C56" t="s">
        <v>26</v>
      </c>
      <c r="G56" s="93">
        <f>(Model!G96+Model!G107-Model!G72)/1000</f>
        <v>304.947</v>
      </c>
      <c r="H56" s="93">
        <f>(Model!H96+Model!H107-Model!H72)/1000</f>
        <v>402.80200000000002</v>
      </c>
      <c r="I56" s="93">
        <f>(Model!I96+Model!I107-Model!I72)/1000</f>
        <v>684.26</v>
      </c>
      <c r="J56" s="93">
        <f>(Model!J96+Model!J107-Model!J72)/1000</f>
        <v>2615.6750000000002</v>
      </c>
      <c r="K56" s="93">
        <f>(Model!K96+Model!K107-Model!K72)/1000</f>
        <v>2491.4509591691717</v>
      </c>
      <c r="L56" s="93">
        <f>(Model!L96+Model!L107-Model!L72)/1000</f>
        <v>2105.6339060285277</v>
      </c>
      <c r="M56" s="93">
        <f>(Model!M96+Model!M107-Model!M72)/1000</f>
        <v>1439.3972376373054</v>
      </c>
      <c r="N56" s="93">
        <f>(Model!N96+Model!N107-Model!N72)/1000</f>
        <v>515.61873499054116</v>
      </c>
      <c r="O56" s="93">
        <f>(Model!O96+Model!O107-Model!O72)/1000</f>
        <v>-605.9820737500421</v>
      </c>
    </row>
    <row r="57" spans="2:15">
      <c r="B57" t="s">
        <v>40</v>
      </c>
      <c r="C57" t="s">
        <v>26</v>
      </c>
      <c r="G57" s="93">
        <f>Model!G88/1000</f>
        <v>844.06</v>
      </c>
      <c r="H57" s="93">
        <f>Model!H88/1000</f>
        <v>1247.0150000000001</v>
      </c>
      <c r="I57" s="93">
        <f>Model!I88/1000</f>
        <v>1621.213</v>
      </c>
      <c r="J57" s="93">
        <f>Model!J88/1000</f>
        <v>2511.5940000000001</v>
      </c>
      <c r="K57" s="93">
        <f>Model!K88/1000</f>
        <v>3385.3386877021626</v>
      </c>
      <c r="L57" s="93">
        <f>Model!L88/1000</f>
        <v>4333.8187738431006</v>
      </c>
      <c r="M57" s="93">
        <f>Model!M88/1000</f>
        <v>5367.4895837428558</v>
      </c>
      <c r="N57" s="93">
        <f>Model!N88/1000</f>
        <v>6472.314488334614</v>
      </c>
      <c r="O57" s="93">
        <f>Model!O88/1000</f>
        <v>7601.2388180815096</v>
      </c>
    </row>
    <row r="58" spans="2:15">
      <c r="B58" t="s">
        <v>41</v>
      </c>
      <c r="C58" t="s">
        <v>44</v>
      </c>
      <c r="G58" s="95">
        <f>IFERROR((Model!G96+Model!G107-Model!G72)/Model!G26,"")</f>
        <v>0.41173889326953195</v>
      </c>
      <c r="H58" s="95">
        <f>IFERROR((Model!H96+Model!H107-Model!H72)/Model!H26,"")</f>
        <v>0.53285833155847062</v>
      </c>
      <c r="I58" s="95">
        <f>IFERROR((Model!I96+Model!I107-Model!I72)/Model!I26,"")</f>
        <v>0.65820432364421988</v>
      </c>
      <c r="J58" s="95">
        <f>IFERROR((Model!J96+Model!J107-Model!J72)/Model!J26,"")</f>
        <v>1.65907115990841</v>
      </c>
      <c r="K58" s="95">
        <f>IFERROR((Model!K96+Model!K107-Model!K72)/Model!K26,"")</f>
        <v>1.0753493626980404</v>
      </c>
      <c r="L58" s="95">
        <f>IFERROR((Model!L96+Model!L107-Model!L72)/Model!L26,"")</f>
        <v>0.84025180489045992</v>
      </c>
      <c r="M58" s="95">
        <f>IFERROR((Model!M96+Model!M107-Model!M72)/Model!M26,"")</f>
        <v>0.53403216837912082</v>
      </c>
      <c r="N58" s="95">
        <f>IFERROR((Model!N96+Model!N107-Model!N72)/Model!N26,"")</f>
        <v>0.18124606877823635</v>
      </c>
      <c r="O58" s="95">
        <f>IFERROR((Model!O96+Model!O107-Model!O72)/Model!O26,"")</f>
        <v>-0.20870462960622779</v>
      </c>
    </row>
    <row r="59" spans="2:15">
      <c r="B59" t="s">
        <v>42</v>
      </c>
      <c r="C59" t="s">
        <v>44</v>
      </c>
      <c r="G59" s="95">
        <f>IFERROR(Model!G27/-Model!G31,"")</f>
        <v>18.318458768953818</v>
      </c>
      <c r="H59" s="95">
        <f>IFERROR(Model!H27/-Model!H31,"")</f>
        <v>28.862699392111157</v>
      </c>
      <c r="I59" s="95">
        <f>IFERROR(Model!I27/-Model!I31,"")</f>
        <v>10.006400102401638</v>
      </c>
      <c r="J59" s="95">
        <f>IFERROR(Model!J27/-Model!J31,"")</f>
        <v>7.6570802419256108</v>
      </c>
      <c r="K59" s="95">
        <f>IFERROR(Model!K27/-Model!K31,"")</f>
        <v>6.2083050465260268</v>
      </c>
      <c r="L59" s="95">
        <f>IFERROR(Model!L27/-Model!L31,"")</f>
        <v>7.3982682853335122</v>
      </c>
      <c r="M59" s="95">
        <f>IFERROR(Model!M27/-Model!M31,"")</f>
        <v>8.9661683679957136</v>
      </c>
      <c r="N59" s="95">
        <f>IFERROR(Model!N27/-Model!N31,"")</f>
        <v>10.875309692582915</v>
      </c>
      <c r="O59" s="95">
        <f>IFERROR(Model!O27/-Model!O31,"")</f>
        <v>12.976633443459862</v>
      </c>
    </row>
    <row r="60" spans="2:15">
      <c r="B60" t="s">
        <v>43</v>
      </c>
      <c r="C60" t="s">
        <v>27</v>
      </c>
      <c r="G60" s="94">
        <f>IFERROR(Model!G27*(1+Model!G40/Model!G36)/(Model!G88+Model!G96+Model!G107-Model!G72),"")</f>
        <v>0.28632924243569657</v>
      </c>
      <c r="H60" s="94">
        <f>IFERROR(Model!H27*(1+Model!H40/Model!H36)/(Model!H88+Model!H96+Model!H107-Model!H72),"")</f>
        <v>0.27860405432552571</v>
      </c>
      <c r="I60" s="94">
        <f>IFERROR(Model!I27*(1+Model!I40/Model!I36)/(Model!I88+Model!I96+Model!I107-Model!I72),"")</f>
        <v>0.21924163578524242</v>
      </c>
      <c r="J60" s="94">
        <f>IFERROR(Model!J27*(1+Model!J40/Model!J36)/(Model!J88+Model!J96+Model!J107-Model!J72),"")</f>
        <v>0.17460443134322337</v>
      </c>
      <c r="K60" s="94">
        <f>IFERROR(Model!K27*(1+Model!K40/Model!K36)/(Model!K88+Model!K96+Model!K107-Model!K72),"")</f>
        <v>0.17493008087322989</v>
      </c>
      <c r="L60" s="94">
        <f>IFERROR(Model!L27*(1+Model!L40/Model!L36)/(Model!L88+Model!L96+Model!L107-Model!L72),"")</f>
        <v>0.16913378138298577</v>
      </c>
      <c r="M60" s="94">
        <f>IFERROR(Model!M27*(1+Model!M40/Model!M36)/(Model!M88+Model!M96+Model!M107-Model!M72),"")</f>
        <v>0.16970938076977293</v>
      </c>
      <c r="N60" s="94">
        <f>IFERROR(Model!N27*(1+Model!N40/Model!N36)/(Model!N88+Model!N96+Model!N107-Model!N72),"")</f>
        <v>0.17191501888887498</v>
      </c>
      <c r="O60" s="94">
        <f>IFERROR(Model!O27*(1+Model!O40/Model!O36)/(Model!O88+Model!O96+Model!O107-Model!O72),"")</f>
        <v>0.17083086330606193</v>
      </c>
    </row>
    <row r="63" spans="2:15" ht="15">
      <c r="B63" s="5" t="s">
        <v>45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6"/>
    </row>
    <row r="65" spans="2:15" ht="15.75">
      <c r="B65" s="1"/>
      <c r="G65" s="2" t="s">
        <v>57</v>
      </c>
      <c r="H65" s="2" t="s">
        <v>58</v>
      </c>
      <c r="I65" s="2" t="s">
        <v>59</v>
      </c>
      <c r="J65" s="2" t="s">
        <v>60</v>
      </c>
      <c r="K65" s="3" t="s">
        <v>61</v>
      </c>
      <c r="L65" s="3" t="s">
        <v>62</v>
      </c>
      <c r="M65" s="3" t="s">
        <v>63</v>
      </c>
      <c r="N65" s="3" t="s">
        <v>64</v>
      </c>
      <c r="O65" s="3" t="s">
        <v>65</v>
      </c>
    </row>
    <row r="67" spans="2:15">
      <c r="B67" t="s">
        <v>46</v>
      </c>
      <c r="C67" t="s">
        <v>28</v>
      </c>
      <c r="K67" s="109">
        <v>64.64</v>
      </c>
    </row>
    <row r="68" spans="2:15">
      <c r="B68" t="s">
        <v>47</v>
      </c>
      <c r="C68" t="s">
        <v>56</v>
      </c>
      <c r="K68" s="110">
        <f>Model!J42/Model!J47/1000</f>
        <v>107.21082451170419</v>
      </c>
    </row>
    <row r="69" spans="2:15">
      <c r="B69" t="s">
        <v>48</v>
      </c>
      <c r="C69" t="s">
        <v>26</v>
      </c>
      <c r="K69" s="93">
        <f>K67*K68</f>
        <v>6930.1076964365584</v>
      </c>
    </row>
    <row r="70" spans="2:15">
      <c r="B70" t="s">
        <v>39</v>
      </c>
      <c r="C70" t="s">
        <v>26</v>
      </c>
      <c r="K70" s="93">
        <f>J56</f>
        <v>2615.6750000000002</v>
      </c>
    </row>
    <row r="71" spans="2:15" ht="15">
      <c r="B71" t="s">
        <v>49</v>
      </c>
      <c r="C71" t="s">
        <v>26</v>
      </c>
      <c r="K71" s="71">
        <f>K69+K70</f>
        <v>9545.7826964365595</v>
      </c>
    </row>
    <row r="73" spans="2:15">
      <c r="B73" t="s">
        <v>50</v>
      </c>
      <c r="C73" t="s">
        <v>44</v>
      </c>
      <c r="K73" s="95">
        <f>IFERROR(K71/K27,"")</f>
        <v>4.1201097301510359</v>
      </c>
    </row>
    <row r="74" spans="2:15">
      <c r="B74" t="s">
        <v>51</v>
      </c>
      <c r="C74" s="114" t="s">
        <v>265</v>
      </c>
      <c r="K74" s="111">
        <f>IFERROR(K71*1000000/K7,"")</f>
        <v>71880.433720390807</v>
      </c>
    </row>
    <row r="76" spans="2:15" ht="15">
      <c r="B76" t="s">
        <v>52</v>
      </c>
      <c r="C76" t="s">
        <v>28</v>
      </c>
      <c r="K76" s="112">
        <f>G110</f>
        <v>64.835751437447755</v>
      </c>
    </row>
    <row r="77" spans="2:15" ht="15">
      <c r="B77" t="s">
        <v>53</v>
      </c>
      <c r="C77" t="s">
        <v>28</v>
      </c>
      <c r="K77" s="112">
        <f>IFERROR((K96*K27-K70)/K68,"")</f>
        <v>83.654838457871989</v>
      </c>
    </row>
    <row r="78" spans="2:15" ht="15">
      <c r="B78" t="s">
        <v>54</v>
      </c>
      <c r="C78" t="s">
        <v>28</v>
      </c>
      <c r="K78" s="112">
        <f>AVERAGE(K76,K77)</f>
        <v>74.245294947659872</v>
      </c>
    </row>
    <row r="79" spans="2:15" ht="15">
      <c r="B79" t="s">
        <v>55</v>
      </c>
      <c r="C79" t="s">
        <v>27</v>
      </c>
      <c r="K79" s="113">
        <f>IFERROR(K78/K67-1,"")</f>
        <v>0.14859676589820348</v>
      </c>
    </row>
    <row r="82" spans="2:15" ht="15">
      <c r="B82" s="5" t="s">
        <v>66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6"/>
    </row>
    <row r="85" spans="2:15" ht="15">
      <c r="B85" s="119">
        <f>K76</f>
        <v>64.835751437447755</v>
      </c>
      <c r="C85" s="7">
        <v>0.11</v>
      </c>
      <c r="D85" s="7">
        <v>0.12</v>
      </c>
      <c r="E85" s="7">
        <v>0.13</v>
      </c>
      <c r="F85" s="7">
        <v>0.14000000000000001</v>
      </c>
      <c r="G85" s="7">
        <v>0.15</v>
      </c>
    </row>
    <row r="86" spans="2:15" ht="15">
      <c r="B86" s="8">
        <v>70</v>
      </c>
      <c r="C86" s="120">
        <f>(C$118+($B86/$C$116-1)*$C$114*(1-$C$115)*C$119+(Model!$O$26/1000+Model!$O$7/1000*($B86/$C$116-1)*$C$114)*$G$96*C$120-$G$107)/$G$109</f>
        <v>41.137672107409202</v>
      </c>
      <c r="D86" s="121">
        <f>(D$118+($B86/$C$116-1)*$C$114*(1-$C$115)*D$119+(Model!$O$26/1000+Model!$O$7/1000*($B86/$C$116-1)*$C$114)*$G$96*D$120-$G$107)/$G$109</f>
        <v>38.329592932460201</v>
      </c>
      <c r="E86" s="121">
        <f>(E$118+($B86/$C$116-1)*$C$114*(1-$C$115)*E$119+(Model!$O$26/1000+Model!$O$7/1000*($B86/$C$116-1)*$C$114)*$G$96*E$120-$G$107)/$G$109</f>
        <v>35.665719652352479</v>
      </c>
      <c r="F86" s="121">
        <f>(F$118+($B86/$C$116-1)*$C$114*(1-$C$115)*F$119+(Model!$O$26/1000+Model!$O$7/1000*($B86/$C$116-1)*$C$114)*$G$96*F$120-$G$107)/$G$109</f>
        <v>33.137440344887644</v>
      </c>
      <c r="G86" s="121">
        <f>(G$118+($B86/$C$116-1)*$C$114*(1-$C$115)*G$119+(Model!$O$26/1000+Model!$O$7/1000*($B86/$C$116-1)*$C$114)*$G$96*G$120-$G$107)/$G$109</f>
        <v>30.736727654992031</v>
      </c>
    </row>
    <row r="87" spans="2:15" ht="15">
      <c r="B87" s="8">
        <v>75</v>
      </c>
      <c r="C87" s="121">
        <f>(C$118+($B87/$C$116-1)*$C$114*(1-$C$115)*C$119+(Model!$O$26/1000+Model!$O$7/1000*($B87/$C$116-1)*$C$114)*$G$96*C$120-$G$107)/$G$109</f>
        <v>51.581386512947624</v>
      </c>
      <c r="D87" s="121">
        <f>(D$118+($B87/$C$116-1)*$C$114*(1-$C$115)*D$119+(Model!$O$26/1000+Model!$O$7/1000*($B87/$C$116-1)*$C$114)*$G$96*D$120-$G$107)/$G$109</f>
        <v>48.404260089589123</v>
      </c>
      <c r="E87" s="121">
        <f>(E$118+($B87/$C$116-1)*$C$114*(1-$C$115)*E$119+(Model!$O$26/1000+Model!$O$7/1000*($B87/$C$116-1)*$C$114)*$G$96*E$120-$G$107)/$G$109</f>
        <v>45.389063580717576</v>
      </c>
      <c r="F87" s="121">
        <f>(F$118+($B87/$C$116-1)*$C$114*(1-$C$115)*F$119+(Model!$O$26/1000+Model!$O$7/1000*($B87/$C$116-1)*$C$114)*$G$96*F$120-$G$107)/$G$109</f>
        <v>42.526161417725504</v>
      </c>
      <c r="G87" s="121">
        <f>(G$118+($B87/$C$116-1)*$C$114*(1-$C$115)*G$119+(Model!$O$26/1000+Model!$O$7/1000*($B87/$C$116-1)*$C$114)*$G$96*G$120-$G$107)/$G$109</f>
        <v>39.806570713199115</v>
      </c>
    </row>
    <row r="88" spans="2:15" ht="15">
      <c r="B88" s="8">
        <v>80</v>
      </c>
      <c r="C88" s="121">
        <f>(C$118+($B88/$C$116-1)*$C$114*(1-$C$115)*C$119+(Model!$O$26/1000+Model!$O$7/1000*($B88/$C$116-1)*$C$114)*$G$96*C$120-$G$107)/$G$109</f>
        <v>62.025100918486054</v>
      </c>
      <c r="D88" s="121">
        <f>(D$118+($B88/$C$116-1)*$C$114*(1-$C$115)*D$119+(Model!$O$26/1000+Model!$O$7/1000*($B88/$C$116-1)*$C$114)*$G$96*D$120-$G$107)/$G$109</f>
        <v>58.478927246718051</v>
      </c>
      <c r="E88" s="121">
        <f>(E$118+($B88/$C$116-1)*$C$114*(1-$C$115)*E$119+(Model!$O$26/1000+Model!$O$7/1000*($B88/$C$116-1)*$C$114)*$G$96*E$120-$G$107)/$G$109</f>
        <v>55.112407509082658</v>
      </c>
      <c r="F88" s="121">
        <f>(F$118+($B88/$C$116-1)*$C$114*(1-$C$115)*F$119+(Model!$O$26/1000+Model!$O$7/1000*($B88/$C$116-1)*$C$114)*$G$96*F$120-$G$107)/$G$109</f>
        <v>51.914882490563365</v>
      </c>
      <c r="G88" s="121">
        <f>(G$118+($B88/$C$116-1)*$C$114*(1-$C$115)*G$119+(Model!$O$26/1000+Model!$O$7/1000*($B88/$C$116-1)*$C$114)*$G$96*G$120-$G$107)/$G$109</f>
        <v>48.876413771406199</v>
      </c>
    </row>
    <row r="89" spans="2:15" ht="15">
      <c r="B89" s="8">
        <v>85</v>
      </c>
      <c r="C89" s="121">
        <f>(C$118+($B89/$C$116-1)*$C$114*(1-$C$115)*C$119+(Model!$O$26/1000+Model!$O$7/1000*($B89/$C$116-1)*$C$114)*$G$96*C$120-$G$107)/$G$109</f>
        <v>72.468815324024476</v>
      </c>
      <c r="D89" s="121">
        <f>(D$118+($B89/$C$116-1)*$C$114*(1-$C$115)*D$119+(Model!$O$26/1000+Model!$O$7/1000*($B89/$C$116-1)*$C$114)*$G$96*D$120-$G$107)/$G$109</f>
        <v>68.553594403846958</v>
      </c>
      <c r="E89" s="179">
        <f>(E$118+($B89/$C$116-1)*$C$114*(1-$C$115)*E$119+(Model!$O$26/1000+Model!$O$7/1000*($B89/$C$116-1)*$C$114)*$G$96*E$120-$G$107)/$G$109</f>
        <v>64.835751437447755</v>
      </c>
      <c r="F89" s="121">
        <f>(F$118+($B89/$C$116-1)*$C$114*(1-$C$115)*F$119+(Model!$O$26/1000+Model!$O$7/1000*($B89/$C$116-1)*$C$114)*$G$96*F$120-$G$107)/$G$109</f>
        <v>61.303603563401232</v>
      </c>
      <c r="G89" s="121">
        <f>(G$118+($B89/$C$116-1)*$C$114*(1-$C$115)*G$119+(Model!$O$26/1000+Model!$O$7/1000*($B89/$C$116-1)*$C$114)*$G$96*G$120-$G$107)/$G$109</f>
        <v>57.946256829613283</v>
      </c>
    </row>
    <row r="90" spans="2:15" ht="15">
      <c r="B90" s="8">
        <v>90</v>
      </c>
      <c r="C90" s="121">
        <f>(C$118+($B90/$C$116-1)*$C$114*(1-$C$115)*C$119+(Model!$O$26/1000+Model!$O$7/1000*($B90/$C$116-1)*$C$114)*$G$96*C$120-$G$107)/$G$109</f>
        <v>82.912529729562905</v>
      </c>
      <c r="D90" s="121">
        <f>(D$118+($B90/$C$116-1)*$C$114*(1-$C$115)*D$119+(Model!$O$26/1000+Model!$O$7/1000*($B90/$C$116-1)*$C$114)*$G$96*D$120-$G$107)/$G$109</f>
        <v>78.628261560975886</v>
      </c>
      <c r="E90" s="122">
        <f>(E$118+($B90/$C$116-1)*$C$114*(1-$C$115)*E$119+(Model!$O$26/1000+Model!$O$7/1000*($B90/$C$116-1)*$C$114)*$G$96*E$120-$G$107)/$G$109</f>
        <v>74.559095365812851</v>
      </c>
      <c r="F90" s="121">
        <f>(F$118+($B90/$C$116-1)*$C$114*(1-$C$115)*F$119+(Model!$O$26/1000+Model!$O$7/1000*($B90/$C$116-1)*$C$114)*$G$96*F$120-$G$107)/$G$109</f>
        <v>70.692324636239107</v>
      </c>
      <c r="G90" s="121">
        <f>(G$118+($B90/$C$116-1)*$C$114*(1-$C$115)*G$119+(Model!$O$26/1000+Model!$O$7/1000*($B90/$C$116-1)*$C$114)*$G$96*G$120-$G$107)/$G$109</f>
        <v>67.01609988782036</v>
      </c>
    </row>
    <row r="91" spans="2:15" ht="15">
      <c r="B91" s="8">
        <v>95</v>
      </c>
      <c r="C91" s="121">
        <f>(C$118+($B91/$C$116-1)*$C$114*(1-$C$115)*C$119+(Model!$O$26/1000+Model!$O$7/1000*($B91/$C$116-1)*$C$114)*$G$96*C$120-$G$107)/$G$109</f>
        <v>93.356244135101349</v>
      </c>
      <c r="D91" s="121">
        <f>(D$118+($B91/$C$116-1)*$C$114*(1-$C$115)*D$119+(Model!$O$26/1000+Model!$O$7/1000*($B91/$C$116-1)*$C$114)*$G$96*D$120-$G$107)/$G$109</f>
        <v>88.702928718104829</v>
      </c>
      <c r="E91" s="121">
        <f>(E$118+($B91/$C$116-1)*$C$114*(1-$C$115)*E$119+(Model!$O$26/1000+Model!$O$7/1000*($B91/$C$116-1)*$C$114)*$G$96*E$120-$G$107)/$G$109</f>
        <v>84.282439294177948</v>
      </c>
      <c r="F91" s="121">
        <f>(F$118+($B91/$C$116-1)*$C$114*(1-$C$115)*F$119+(Model!$O$26/1000+Model!$O$7/1000*($B91/$C$116-1)*$C$114)*$G$96*F$120-$G$107)/$G$109</f>
        <v>80.08104570907696</v>
      </c>
      <c r="G91" s="121">
        <f>(G$118+($B91/$C$116-1)*$C$114*(1-$C$115)*G$119+(Model!$O$26/1000+Model!$O$7/1000*($B91/$C$116-1)*$C$114)*$G$96*G$120-$G$107)/$G$109</f>
        <v>76.085942946027458</v>
      </c>
    </row>
    <row r="92" spans="2:15" ht="15">
      <c r="B92" s="8">
        <v>100</v>
      </c>
      <c r="C92" s="121">
        <f>(C$118+($B92/$C$116-1)*$C$114*(1-$C$115)*C$119+(Model!$O$26/1000+Model!$O$7/1000*($B92/$C$116-1)*$C$114)*$G$96*C$120-$G$107)/$G$109</f>
        <v>103.79995854063976</v>
      </c>
      <c r="D92" s="121">
        <f>(D$118+($B92/$C$116-1)*$C$114*(1-$C$115)*D$119+(Model!$O$26/1000+Model!$O$7/1000*($B92/$C$116-1)*$C$114)*$G$96*D$120-$G$107)/$G$109</f>
        <v>98.777595875233743</v>
      </c>
      <c r="E92" s="121">
        <f>(E$118+($B92/$C$116-1)*$C$114*(1-$C$115)*E$119+(Model!$O$26/1000+Model!$O$7/1000*($B92/$C$116-1)*$C$114)*$G$96*E$120-$G$107)/$G$109</f>
        <v>94.00578322254303</v>
      </c>
      <c r="F92" s="121">
        <f>(F$118+($B92/$C$116-1)*$C$114*(1-$C$115)*F$119+(Model!$O$26/1000+Model!$O$7/1000*($B92/$C$116-1)*$C$114)*$G$96*F$120-$G$107)/$G$109</f>
        <v>89.469766781914842</v>
      </c>
      <c r="G92" s="121">
        <f>(G$118+($B92/$C$116-1)*$C$114*(1-$C$115)*G$119+(Model!$O$26/1000+Model!$O$7/1000*($B92/$C$116-1)*$C$114)*$G$96*G$120-$G$107)/$G$109</f>
        <v>85.155786004234514</v>
      </c>
    </row>
    <row r="95" spans="2:15" ht="15">
      <c r="B95" s="81" t="s">
        <v>250</v>
      </c>
      <c r="C95" s="6"/>
      <c r="D95" s="6"/>
      <c r="E95" s="6"/>
      <c r="F95" s="6"/>
      <c r="G95" s="6"/>
      <c r="H95" s="6"/>
      <c r="I95" s="6"/>
      <c r="J95" s="6"/>
      <c r="K95" s="6"/>
    </row>
    <row r="96" spans="2:15" outlineLevel="2">
      <c r="B96" s="102" t="s">
        <v>251</v>
      </c>
      <c r="C96" s="103">
        <v>0.13</v>
      </c>
      <c r="E96" s="102" t="s">
        <v>252</v>
      </c>
      <c r="F96" s="104"/>
      <c r="G96" s="105">
        <v>4.5</v>
      </c>
      <c r="I96" s="104" t="s">
        <v>256</v>
      </c>
      <c r="J96" s="104"/>
      <c r="K96" s="130">
        <v>5</v>
      </c>
    </row>
    <row r="97" spans="2:11" outlineLevel="2">
      <c r="B97" s="78"/>
      <c r="C97" s="128"/>
      <c r="E97" s="78"/>
      <c r="G97" s="106"/>
    </row>
    <row r="98" spans="2:11" outlineLevel="2">
      <c r="G98" s="98" t="s">
        <v>61</v>
      </c>
      <c r="H98" s="98" t="s">
        <v>62</v>
      </c>
      <c r="I98" s="98" t="s">
        <v>63</v>
      </c>
      <c r="J98" s="98" t="s">
        <v>64</v>
      </c>
      <c r="K98" s="98" t="s">
        <v>65</v>
      </c>
    </row>
    <row r="99" spans="2:11" outlineLevel="2">
      <c r="B99" s="78" t="s">
        <v>325</v>
      </c>
      <c r="G99" s="99">
        <f>Model!K152/1000</f>
        <v>278.50664133082819</v>
      </c>
      <c r="H99" s="99">
        <f>Model!L152/1000</f>
        <v>526.4659487831965</v>
      </c>
      <c r="I99" s="99">
        <f>Model!M152/1000</f>
        <v>787.75840591782094</v>
      </c>
      <c r="J99" s="99">
        <f>Model!N152/1000</f>
        <v>1020.2842701371479</v>
      </c>
      <c r="K99" s="99">
        <f>Model!O152/1000</f>
        <v>1187.6822276753849</v>
      </c>
    </row>
    <row r="100" spans="2:11" outlineLevel="2">
      <c r="B100" s="78" t="s">
        <v>253</v>
      </c>
      <c r="G100" s="100">
        <v>1</v>
      </c>
      <c r="H100" s="100">
        <v>2</v>
      </c>
      <c r="I100" s="100">
        <v>3</v>
      </c>
      <c r="J100" s="100">
        <v>4</v>
      </c>
      <c r="K100" s="100">
        <v>5</v>
      </c>
    </row>
    <row r="101" spans="2:11" outlineLevel="2">
      <c r="B101" s="78" t="s">
        <v>254</v>
      </c>
      <c r="G101" s="101">
        <f>1/(1+$C$96)^G100</f>
        <v>0.88495575221238942</v>
      </c>
      <c r="H101" s="101">
        <f>1/(1+$C$96)^H100</f>
        <v>0.78314668337379612</v>
      </c>
      <c r="I101" s="101">
        <f>1/(1+$C$96)^I100</f>
        <v>0.69305016227769578</v>
      </c>
      <c r="J101" s="101">
        <f>1/(1+$C$96)^J100</f>
        <v>0.61331872767937679</v>
      </c>
      <c r="K101" s="101">
        <f>1/(1+$C$96)^K100</f>
        <v>0.54275993599944861</v>
      </c>
    </row>
    <row r="102" spans="2:11" outlineLevel="2">
      <c r="B102" t="s">
        <v>255</v>
      </c>
      <c r="G102" s="93">
        <f>G99*G101</f>
        <v>246.46605427506921</v>
      </c>
      <c r="H102" s="93">
        <f>H99*H101</f>
        <v>412.30006169879914</v>
      </c>
      <c r="I102" s="93">
        <f>I99*I101</f>
        <v>545.95609105696474</v>
      </c>
      <c r="J102" s="93">
        <f>J99*J101</f>
        <v>625.75945043179718</v>
      </c>
      <c r="K102" s="93">
        <f>K99*K101</f>
        <v>644.62632988077439</v>
      </c>
    </row>
    <row r="103" spans="2:11" ht="15" outlineLevel="2">
      <c r="B103" s="4" t="s">
        <v>257</v>
      </c>
      <c r="G103" s="71">
        <f>SUM(G102:K102)</f>
        <v>2475.1079873434046</v>
      </c>
    </row>
    <row r="104" spans="2:11" outlineLevel="2">
      <c r="B104" t="s">
        <v>258</v>
      </c>
      <c r="G104" s="93">
        <f>Model!O26/1000*$G$96</f>
        <v>13065.92641006665</v>
      </c>
    </row>
    <row r="105" spans="2:11" outlineLevel="2">
      <c r="B105" t="s">
        <v>259</v>
      </c>
      <c r="G105" s="93">
        <f>G104*K101</f>
        <v>7091.6613821012797</v>
      </c>
    </row>
    <row r="106" spans="2:11" ht="15" outlineLevel="2">
      <c r="B106" s="4" t="s">
        <v>260</v>
      </c>
      <c r="G106" s="71">
        <f>G103+G105</f>
        <v>9566.7693694446843</v>
      </c>
    </row>
    <row r="107" spans="2:11" outlineLevel="2">
      <c r="B107" t="s">
        <v>261</v>
      </c>
      <c r="G107" s="93">
        <f>J56</f>
        <v>2615.6750000000002</v>
      </c>
    </row>
    <row r="108" spans="2:11" ht="15" outlineLevel="2">
      <c r="B108" s="4" t="s">
        <v>262</v>
      </c>
      <c r="G108" s="71">
        <f>G106-G107</f>
        <v>6951.0943694446842</v>
      </c>
    </row>
    <row r="109" spans="2:11" outlineLevel="2">
      <c r="B109" t="s">
        <v>263</v>
      </c>
      <c r="G109" s="107">
        <f>K68</f>
        <v>107.21082451170419</v>
      </c>
    </row>
    <row r="110" spans="2:11" ht="15" outlineLevel="2">
      <c r="B110" s="4" t="s">
        <v>264</v>
      </c>
      <c r="G110" s="108">
        <f>G108/G109</f>
        <v>64.835751437447755</v>
      </c>
    </row>
    <row r="113" spans="2:7" ht="15">
      <c r="B113" s="115" t="s">
        <v>266</v>
      </c>
      <c r="C113" s="6"/>
      <c r="D113" s="6"/>
      <c r="E113" s="6"/>
      <c r="F113" s="6"/>
      <c r="G113" s="6"/>
    </row>
    <row r="114" spans="2:7" outlineLevel="2">
      <c r="B114" s="114" t="s">
        <v>267</v>
      </c>
      <c r="C114" s="116">
        <v>0.86</v>
      </c>
    </row>
    <row r="115" spans="2:7" outlineLevel="2">
      <c r="B115" s="114" t="s">
        <v>268</v>
      </c>
      <c r="C115" s="116">
        <f>'Imputs Drivers'!G38</f>
        <v>0.3</v>
      </c>
    </row>
    <row r="116" spans="2:7" outlineLevel="2">
      <c r="B116" s="114" t="s">
        <v>272</v>
      </c>
      <c r="C116" s="123">
        <f>'Imputs Drivers'!G8</f>
        <v>85</v>
      </c>
    </row>
    <row r="117" spans="2:7" outlineLevel="2"/>
    <row r="118" spans="2:7" outlineLevel="2">
      <c r="B118" s="114" t="s">
        <v>269</v>
      </c>
      <c r="C118" s="117" cm="1">
        <f t="array" ref="C118">SUMPRODUCT($G$99:$K$99,1/(1+C$85)^$G$100:$K$100)</f>
        <v>2631.1250619056395</v>
      </c>
      <c r="D118" cm="1">
        <f t="array" ref="D118">SUMPRODUCT($G$99:$K$99,1/(1+D$85)^$G$100:$K$100)</f>
        <v>2551.4048393626608</v>
      </c>
      <c r="E118" cm="1">
        <f t="array" ref="E118">SUMPRODUCT($G$99:$K$99,1/(1+E$85)^$G$100:$K$100)</f>
        <v>2475.1079873434046</v>
      </c>
      <c r="F118" cm="1">
        <f t="array" ref="F118">SUMPRODUCT($G$99:$K$99,1/(1+F$85)^$G$100:$K$100)</f>
        <v>2402.0521353509421</v>
      </c>
      <c r="G118" cm="1">
        <f t="array" ref="G118">SUMPRODUCT($G$99:$K$99,1/(1+G$85)^$G$100:$K$100)</f>
        <v>2332.0663358651682</v>
      </c>
    </row>
    <row r="119" spans="2:7" outlineLevel="2">
      <c r="B119" s="114" t="s">
        <v>270</v>
      </c>
      <c r="C119" s="117" cm="1">
        <f t="array" ref="C119">SUMPRODUCT(Model!$K$7:$O$7/1000,1/(1+C$85)^$G$100:$K$100)</f>
        <v>14782.461227028596</v>
      </c>
      <c r="D119" cm="1">
        <f t="array" ref="D119">SUMPRODUCT(Model!$K$7:$O$7/1000,1/(1+D$85)^$G$100:$K$100)</f>
        <v>14403.474776408091</v>
      </c>
      <c r="E119" cm="1">
        <f t="array" ref="E119">SUMPRODUCT(Model!$K$7:$O$7/1000,1/(1+E$85)^$G$100:$K$100)</f>
        <v>14039.63448516923</v>
      </c>
      <c r="F119" cm="1">
        <f t="array" ref="F119">SUMPRODUCT(Model!$K$7:$O$7/1000,1/(1+F$85)^$G$100:$K$100)</f>
        <v>13690.164870229575</v>
      </c>
      <c r="G119" cm="1">
        <f t="array" ref="G119">SUMPRODUCT(Model!$K$7:$O$7/1000,1/(1+G$85)^$G$100:$K$100)</f>
        <v>13354.33782073648</v>
      </c>
    </row>
    <row r="120" spans="2:7" outlineLevel="2">
      <c r="B120" s="114" t="s">
        <v>271</v>
      </c>
      <c r="C120" s="118">
        <f>1/(1+C$85)^5</f>
        <v>0.5934513280585586</v>
      </c>
      <c r="D120">
        <f t="shared" ref="D120:G120" si="2">1/(1+D$85)^5</f>
        <v>0.56742685571859919</v>
      </c>
      <c r="E120">
        <f t="shared" si="2"/>
        <v>0.54275993599944861</v>
      </c>
      <c r="F120">
        <f t="shared" si="2"/>
        <v>0.51936866435981521</v>
      </c>
      <c r="G120">
        <f t="shared" si="2"/>
        <v>0.49717673529828987</v>
      </c>
    </row>
    <row r="121" spans="2:7" outlineLevel="2"/>
    <row r="122" spans="2:7" outlineLevel="2"/>
    <row r="123" spans="2:7" outlineLevel="2"/>
    <row r="124" spans="2:7" outlineLevel="2"/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5A24-3B5A-49BA-9B07-EEDA2288DE0D}">
  <dimension ref="B3:J235"/>
  <sheetViews>
    <sheetView topLeftCell="A13" zoomScale="64" zoomScaleNormal="64" workbookViewId="0">
      <selection activeCell="G22" sqref="G22"/>
    </sheetView>
  </sheetViews>
  <sheetFormatPr baseColWidth="10" defaultRowHeight="14.25"/>
  <cols>
    <col min="6" max="6" width="69.25" customWidth="1"/>
    <col min="7" max="7" width="10.25" customWidth="1"/>
    <col min="9" max="9" width="13.5" bestFit="1" customWidth="1"/>
    <col min="10" max="10" width="14.5" bestFit="1" customWidth="1"/>
  </cols>
  <sheetData>
    <row r="3" spans="2:10" ht="15">
      <c r="B3" s="67" t="s">
        <v>210</v>
      </c>
      <c r="C3" s="6"/>
      <c r="D3" s="6"/>
      <c r="E3" s="6"/>
      <c r="F3" s="6"/>
      <c r="G3" s="6"/>
      <c r="H3" s="6"/>
      <c r="I3" s="6"/>
      <c r="J3" s="6"/>
    </row>
    <row r="5" spans="2:10" ht="15">
      <c r="B5" s="68" t="s">
        <v>76</v>
      </c>
      <c r="G5" s="4">
        <v>2022</v>
      </c>
      <c r="H5" s="4">
        <v>2023</v>
      </c>
      <c r="I5" s="4">
        <v>2024</v>
      </c>
      <c r="J5" s="4">
        <v>2025</v>
      </c>
    </row>
    <row r="7" spans="2:10" ht="15">
      <c r="B7" s="4" t="s">
        <v>77</v>
      </c>
      <c r="G7" s="124">
        <v>1187660</v>
      </c>
      <c r="H7" s="69">
        <v>1168774</v>
      </c>
      <c r="I7" s="69">
        <v>1647768</v>
      </c>
      <c r="J7" s="69">
        <v>2474197</v>
      </c>
    </row>
    <row r="9" spans="2:10" ht="15">
      <c r="B9" s="4" t="s">
        <v>15</v>
      </c>
    </row>
    <row r="10" spans="2:10" ht="15">
      <c r="B10" s="4"/>
    </row>
    <row r="11" spans="2:10">
      <c r="B11" t="s">
        <v>78</v>
      </c>
      <c r="G11" s="124">
        <v>-133385</v>
      </c>
      <c r="H11" s="69">
        <v>-94685</v>
      </c>
      <c r="I11" s="69">
        <v>-116526</v>
      </c>
      <c r="J11" s="69">
        <v>-186945</v>
      </c>
    </row>
    <row r="12" spans="2:10">
      <c r="B12" t="s">
        <v>79</v>
      </c>
      <c r="G12" s="124">
        <v>-500</v>
      </c>
      <c r="H12" s="69">
        <v>-2058</v>
      </c>
      <c r="I12" s="69">
        <v>1720</v>
      </c>
      <c r="J12" s="69">
        <v>1046</v>
      </c>
    </row>
    <row r="13" spans="2:10">
      <c r="B13" t="s">
        <v>80</v>
      </c>
      <c r="G13" s="124">
        <v>-188677</v>
      </c>
      <c r="H13" s="69">
        <v>-176813</v>
      </c>
      <c r="I13" s="69">
        <v>-243950</v>
      </c>
      <c r="J13" s="69">
        <v>-345349</v>
      </c>
    </row>
    <row r="14" spans="2:10">
      <c r="B14" t="s">
        <v>81</v>
      </c>
      <c r="G14" s="124">
        <v>-234862</v>
      </c>
      <c r="H14" s="69">
        <v>-276430</v>
      </c>
      <c r="I14" s="69">
        <v>-437699</v>
      </c>
      <c r="J14" s="69">
        <v>-738903</v>
      </c>
    </row>
    <row r="15" spans="2:10">
      <c r="B15" t="s">
        <v>82</v>
      </c>
      <c r="G15" s="124">
        <v>0</v>
      </c>
      <c r="H15" s="69">
        <v>-27539</v>
      </c>
      <c r="I15" s="69">
        <v>-33570</v>
      </c>
      <c r="J15" s="69">
        <v>-29016</v>
      </c>
    </row>
    <row r="16" spans="2:10">
      <c r="B16" s="10"/>
      <c r="H16" s="69"/>
      <c r="I16" s="69"/>
      <c r="J16" s="69"/>
    </row>
    <row r="17" spans="2:10" ht="15">
      <c r="B17" s="4" t="s">
        <v>83</v>
      </c>
      <c r="G17" s="125">
        <v>630236</v>
      </c>
      <c r="H17" s="70">
        <v>591249</v>
      </c>
      <c r="I17" s="70">
        <v>817743</v>
      </c>
      <c r="J17" s="70">
        <v>1175030</v>
      </c>
    </row>
    <row r="19" spans="2:10">
      <c r="B19" t="s">
        <v>5</v>
      </c>
      <c r="G19" s="124">
        <v>-59904</v>
      </c>
      <c r="H19" s="69">
        <v>-68792</v>
      </c>
      <c r="I19" s="69">
        <v>-140334</v>
      </c>
      <c r="J19" s="69">
        <v>-218072</v>
      </c>
    </row>
    <row r="20" spans="2:10">
      <c r="B20" t="s">
        <v>84</v>
      </c>
      <c r="G20" s="124">
        <v>-63826</v>
      </c>
      <c r="H20" s="69">
        <v>-70483</v>
      </c>
      <c r="I20" s="69">
        <v>-108954</v>
      </c>
      <c r="J20" s="69">
        <v>-147709</v>
      </c>
    </row>
    <row r="21" spans="2:10">
      <c r="B21" t="s">
        <v>85</v>
      </c>
      <c r="G21" s="124">
        <v>-736</v>
      </c>
      <c r="H21" s="69">
        <v>-16</v>
      </c>
      <c r="I21" s="69">
        <v>-138</v>
      </c>
      <c r="J21" s="69">
        <v>-578</v>
      </c>
    </row>
    <row r="22" spans="2:10">
      <c r="B22" t="s">
        <v>86</v>
      </c>
      <c r="G22" s="124">
        <v>26698</v>
      </c>
      <c r="H22" s="69">
        <v>203812</v>
      </c>
      <c r="I22" s="69">
        <v>54127</v>
      </c>
      <c r="J22" s="69">
        <v>512793</v>
      </c>
    </row>
    <row r="23" spans="2:10">
      <c r="B23" t="s">
        <v>87</v>
      </c>
      <c r="G23" s="124">
        <v>-3321</v>
      </c>
      <c r="H23" s="69">
        <v>302</v>
      </c>
      <c r="I23" s="69">
        <v>-1261</v>
      </c>
      <c r="J23" s="69">
        <v>-32382</v>
      </c>
    </row>
    <row r="24" spans="2:10">
      <c r="B24" t="s">
        <v>88</v>
      </c>
      <c r="G24" s="124">
        <v>0</v>
      </c>
      <c r="H24" s="69">
        <v>-24585</v>
      </c>
      <c r="I24" s="69">
        <v>4207</v>
      </c>
      <c r="J24" s="69">
        <v>-38252</v>
      </c>
    </row>
    <row r="25" spans="2:10">
      <c r="B25" s="10"/>
      <c r="H25" s="69"/>
      <c r="I25" s="69"/>
      <c r="J25" s="69"/>
    </row>
    <row r="26" spans="2:10" ht="15">
      <c r="B26" s="4" t="s">
        <v>211</v>
      </c>
      <c r="G26" s="125">
        <v>529147</v>
      </c>
      <c r="H26" s="70">
        <v>631487</v>
      </c>
      <c r="I26" s="70">
        <v>625390</v>
      </c>
      <c r="J26" s="70">
        <v>1250830</v>
      </c>
    </row>
    <row r="28" spans="2:10">
      <c r="B28" t="s">
        <v>89</v>
      </c>
      <c r="G28" s="124">
        <v>0</v>
      </c>
      <c r="H28" s="69">
        <v>0</v>
      </c>
      <c r="I28" s="69">
        <v>0</v>
      </c>
      <c r="J28" s="69">
        <v>-5214</v>
      </c>
    </row>
    <row r="29" spans="2:10">
      <c r="B29" t="s">
        <v>90</v>
      </c>
      <c r="G29" s="124">
        <v>809</v>
      </c>
      <c r="H29" s="69">
        <v>1235</v>
      </c>
      <c r="I29" s="69">
        <v>4535</v>
      </c>
      <c r="J29" s="69">
        <v>10594</v>
      </c>
    </row>
    <row r="30" spans="2:10">
      <c r="B30" t="s">
        <v>91</v>
      </c>
      <c r="G30" s="124">
        <v>-28886</v>
      </c>
      <c r="H30" s="69">
        <v>-21879</v>
      </c>
      <c r="I30" s="69">
        <v>-62499</v>
      </c>
      <c r="J30" s="69">
        <v>-163356</v>
      </c>
    </row>
    <row r="31" spans="2:10">
      <c r="B31" t="s">
        <v>92</v>
      </c>
      <c r="G31" s="124">
        <v>-67556</v>
      </c>
      <c r="H31" s="69">
        <v>-65484</v>
      </c>
      <c r="I31" s="69">
        <v>23401</v>
      </c>
      <c r="J31" s="69">
        <v>-88183</v>
      </c>
    </row>
    <row r="32" spans="2:10">
      <c r="H32" s="69"/>
      <c r="I32" s="69"/>
      <c r="J32" s="69"/>
    </row>
    <row r="33" spans="2:10" ht="15">
      <c r="B33" s="4" t="s">
        <v>93</v>
      </c>
      <c r="G33" s="125">
        <v>-95633</v>
      </c>
      <c r="H33" s="70">
        <v>-86128</v>
      </c>
      <c r="I33" s="70">
        <v>-34563</v>
      </c>
      <c r="J33" s="70">
        <v>-240945</v>
      </c>
    </row>
    <row r="35" spans="2:10" ht="15">
      <c r="B35" s="4" t="s">
        <v>94</v>
      </c>
      <c r="G35" s="125">
        <v>433514</v>
      </c>
      <c r="H35" s="70">
        <v>545359</v>
      </c>
      <c r="I35" s="70">
        <v>590827</v>
      </c>
      <c r="J35" s="70">
        <v>1004671</v>
      </c>
    </row>
    <row r="37" spans="2:10">
      <c r="B37" t="s">
        <v>95</v>
      </c>
      <c r="G37" s="124">
        <v>-92089</v>
      </c>
      <c r="H37" s="69">
        <v>-16393</v>
      </c>
      <c r="I37" s="69">
        <v>-426288</v>
      </c>
      <c r="J37" s="69">
        <v>-241657</v>
      </c>
    </row>
    <row r="38" spans="2:10">
      <c r="B38" t="s">
        <v>96</v>
      </c>
      <c r="G38" s="124">
        <v>-71890</v>
      </c>
      <c r="H38" s="69">
        <v>-132011</v>
      </c>
      <c r="I38" s="69">
        <v>312982</v>
      </c>
      <c r="J38" s="69">
        <v>-43951</v>
      </c>
    </row>
    <row r="39" spans="2:10" ht="15">
      <c r="B39" s="4" t="s">
        <v>97</v>
      </c>
      <c r="G39" s="125">
        <v>-163979</v>
      </c>
      <c r="H39" s="71">
        <v>-148404</v>
      </c>
      <c r="I39" s="71">
        <v>-113306</v>
      </c>
      <c r="J39" s="71">
        <v>-285608</v>
      </c>
    </row>
    <row r="41" spans="2:10" ht="15">
      <c r="B41" s="4" t="s">
        <v>98</v>
      </c>
      <c r="G41" s="125">
        <v>269535</v>
      </c>
      <c r="H41" s="71">
        <v>396955</v>
      </c>
      <c r="I41" s="71">
        <v>477521</v>
      </c>
      <c r="J41" s="71">
        <v>719063</v>
      </c>
    </row>
    <row r="43" spans="2:10" ht="15">
      <c r="B43" s="4" t="s">
        <v>99</v>
      </c>
    </row>
    <row r="44" spans="2:10" ht="15">
      <c r="B44" s="4"/>
    </row>
    <row r="45" spans="2:10">
      <c r="B45" s="10" t="s">
        <v>100</v>
      </c>
      <c r="G45" s="124">
        <v>-4181</v>
      </c>
      <c r="H45" s="69">
        <v>6565</v>
      </c>
      <c r="I45" s="69">
        <v>-10200</v>
      </c>
      <c r="J45" s="69">
        <v>36</v>
      </c>
    </row>
    <row r="46" spans="2:10">
      <c r="B46" s="10" t="s">
        <v>101</v>
      </c>
      <c r="G46" s="124">
        <v>1463</v>
      </c>
      <c r="H46" s="69">
        <v>-2298</v>
      </c>
      <c r="I46" s="69">
        <v>3570</v>
      </c>
      <c r="J46" s="69">
        <v>-13</v>
      </c>
    </row>
    <row r="47" spans="2:10">
      <c r="B47" s="10"/>
      <c r="H47" s="69"/>
      <c r="I47" s="69"/>
      <c r="J47" s="69"/>
    </row>
    <row r="48" spans="2:10" ht="15">
      <c r="B48" s="4" t="s">
        <v>102</v>
      </c>
      <c r="G48" s="125">
        <v>-2718</v>
      </c>
      <c r="H48" s="71">
        <v>4267</v>
      </c>
      <c r="I48" s="71">
        <v>-6630</v>
      </c>
      <c r="J48" s="71">
        <v>23</v>
      </c>
    </row>
    <row r="50" spans="2:10" ht="15">
      <c r="B50" s="4" t="s">
        <v>103</v>
      </c>
      <c r="G50" s="125">
        <v>266817</v>
      </c>
      <c r="H50" s="71">
        <v>401222</v>
      </c>
      <c r="I50" s="71">
        <v>470891</v>
      </c>
      <c r="J50" s="71">
        <v>719086</v>
      </c>
    </row>
    <row r="52" spans="2:10" ht="15">
      <c r="B52" s="4" t="s">
        <v>104</v>
      </c>
    </row>
    <row r="53" spans="2:10" ht="15">
      <c r="B53" s="4"/>
    </row>
    <row r="54" spans="2:10">
      <c r="B54" t="s">
        <v>105</v>
      </c>
      <c r="G54" s="126">
        <v>3.0680000000000001</v>
      </c>
      <c r="H54" s="72">
        <v>4.2370000000000001</v>
      </c>
      <c r="I54" s="72">
        <v>4.9790000000000001</v>
      </c>
      <c r="J54" s="72">
        <v>7.0149999999999997</v>
      </c>
    </row>
    <row r="55" spans="2:10">
      <c r="B55" t="s">
        <v>106</v>
      </c>
      <c r="G55" s="126">
        <v>2.7549999999999999</v>
      </c>
      <c r="H55" s="72">
        <v>4</v>
      </c>
      <c r="I55" s="72">
        <v>4.633</v>
      </c>
      <c r="J55" s="72">
        <v>6.7069999999999999</v>
      </c>
    </row>
    <row r="58" spans="2:10" ht="15">
      <c r="B58" s="67" t="s">
        <v>29</v>
      </c>
      <c r="C58" s="6"/>
      <c r="D58" s="6"/>
      <c r="E58" s="6"/>
      <c r="F58" s="6"/>
      <c r="G58" s="6"/>
      <c r="H58" s="6"/>
      <c r="I58" s="6"/>
      <c r="J58" s="6"/>
    </row>
    <row r="60" spans="2:10" ht="15">
      <c r="B60" s="68" t="s">
        <v>76</v>
      </c>
      <c r="G60" s="4">
        <v>2022</v>
      </c>
      <c r="H60" s="4">
        <v>2023</v>
      </c>
      <c r="I60" s="4">
        <v>2024</v>
      </c>
      <c r="J60" s="4">
        <v>2025</v>
      </c>
    </row>
    <row r="62" spans="2:10" ht="15">
      <c r="B62" s="76" t="s">
        <v>107</v>
      </c>
      <c r="C62" s="73"/>
      <c r="D62" s="73"/>
      <c r="E62" s="73"/>
      <c r="F62" s="73"/>
      <c r="G62" s="74"/>
      <c r="H62" s="74"/>
      <c r="I62" s="74"/>
      <c r="J62" s="74"/>
    </row>
    <row r="63" spans="2:10">
      <c r="B63" s="73" t="s">
        <v>98</v>
      </c>
      <c r="C63" s="73"/>
      <c r="D63" s="73"/>
      <c r="E63" s="73"/>
      <c r="F63" s="73"/>
      <c r="G63" s="124">
        <v>269535</v>
      </c>
      <c r="H63" s="75">
        <v>396955</v>
      </c>
      <c r="I63" s="75">
        <v>477521</v>
      </c>
      <c r="J63" s="75">
        <v>719063</v>
      </c>
    </row>
    <row r="65" spans="2:10" ht="15">
      <c r="B65" s="76" t="s">
        <v>108</v>
      </c>
      <c r="C65" s="73"/>
      <c r="D65" s="73"/>
      <c r="E65" s="73"/>
      <c r="F65" s="73"/>
      <c r="G65" s="74"/>
      <c r="H65" s="74"/>
      <c r="I65" s="74"/>
      <c r="J65" s="74"/>
    </row>
    <row r="66" spans="2:10" ht="15">
      <c r="B66" s="76" t="s">
        <v>109</v>
      </c>
      <c r="C66" s="73"/>
      <c r="D66" s="73"/>
      <c r="E66" s="73"/>
      <c r="F66" s="73"/>
      <c r="G66" s="74"/>
      <c r="H66" s="74"/>
      <c r="I66" s="74"/>
      <c r="J66" s="74"/>
    </row>
    <row r="67" spans="2:10">
      <c r="B67" s="73" t="s">
        <v>110</v>
      </c>
      <c r="C67" s="73"/>
      <c r="D67" s="73"/>
      <c r="E67" s="73"/>
      <c r="F67" s="73"/>
      <c r="G67" s="124">
        <v>-36</v>
      </c>
      <c r="H67" s="75">
        <v>0</v>
      </c>
      <c r="I67" s="75">
        <v>0</v>
      </c>
      <c r="J67" s="75">
        <v>44</v>
      </c>
    </row>
    <row r="68" spans="2:10">
      <c r="B68" s="73" t="s">
        <v>111</v>
      </c>
      <c r="C68" s="73"/>
      <c r="D68" s="73"/>
      <c r="E68" s="73"/>
      <c r="F68" s="73"/>
      <c r="G68" s="124">
        <v>16576</v>
      </c>
      <c r="H68" s="75">
        <v>23133</v>
      </c>
      <c r="I68" s="75">
        <v>34923</v>
      </c>
      <c r="J68" s="75">
        <v>55989</v>
      </c>
    </row>
    <row r="69" spans="2:10">
      <c r="B69" s="73" t="s">
        <v>112</v>
      </c>
      <c r="C69" s="73"/>
      <c r="D69" s="73"/>
      <c r="E69" s="73"/>
      <c r="F69" s="73"/>
      <c r="G69" s="124">
        <v>2790</v>
      </c>
      <c r="H69" s="75">
        <v>-578</v>
      </c>
      <c r="I69" s="75">
        <v>1261</v>
      </c>
      <c r="J69" s="75">
        <v>2507</v>
      </c>
    </row>
    <row r="70" spans="2:10">
      <c r="B70" s="73" t="s">
        <v>113</v>
      </c>
      <c r="C70" s="73"/>
      <c r="D70" s="73"/>
      <c r="E70" s="73"/>
      <c r="F70" s="73"/>
      <c r="G70" s="124">
        <v>-33263</v>
      </c>
      <c r="H70" s="75">
        <v>-18458</v>
      </c>
      <c r="I70" s="75">
        <v>453</v>
      </c>
      <c r="J70" s="75">
        <v>144</v>
      </c>
    </row>
    <row r="71" spans="2:10">
      <c r="B71" s="73" t="s">
        <v>114</v>
      </c>
      <c r="C71" s="73"/>
      <c r="D71" s="73"/>
      <c r="E71" s="73"/>
      <c r="F71" s="73"/>
      <c r="G71" s="124">
        <v>2561</v>
      </c>
      <c r="H71" s="75">
        <v>-2137</v>
      </c>
      <c r="I71" s="75">
        <v>-933</v>
      </c>
      <c r="J71" s="75">
        <v>23652</v>
      </c>
    </row>
    <row r="72" spans="2:10">
      <c r="B72" s="73" t="s">
        <v>115</v>
      </c>
      <c r="C72" s="73"/>
      <c r="D72" s="73"/>
      <c r="E72" s="73"/>
      <c r="F72" s="73"/>
      <c r="G72" s="124">
        <v>2444</v>
      </c>
      <c r="H72" s="75">
        <v>2387</v>
      </c>
      <c r="I72" s="75">
        <v>1312</v>
      </c>
      <c r="J72" s="75">
        <v>2434</v>
      </c>
    </row>
    <row r="73" spans="2:10">
      <c r="B73" s="73" t="s">
        <v>116</v>
      </c>
      <c r="C73" s="73"/>
      <c r="D73" s="73"/>
      <c r="E73" s="73"/>
      <c r="F73" s="73"/>
      <c r="G73" s="124">
        <v>163979</v>
      </c>
      <c r="H73" s="75">
        <v>148404</v>
      </c>
      <c r="I73" s="75">
        <v>113306</v>
      </c>
      <c r="J73" s="75">
        <v>285608</v>
      </c>
    </row>
    <row r="74" spans="2:10">
      <c r="B74" s="73" t="s">
        <v>117</v>
      </c>
      <c r="C74" s="73"/>
      <c r="D74" s="73"/>
      <c r="E74" s="73"/>
      <c r="F74" s="73"/>
      <c r="G74" s="124">
        <v>0</v>
      </c>
      <c r="H74" s="75">
        <v>27539</v>
      </c>
      <c r="I74" s="75">
        <v>33570</v>
      </c>
      <c r="J74" s="75">
        <v>29016</v>
      </c>
    </row>
    <row r="75" spans="2:10">
      <c r="B75" s="73" t="s">
        <v>118</v>
      </c>
      <c r="C75" s="73"/>
      <c r="D75" s="73"/>
      <c r="E75" s="73"/>
      <c r="F75" s="73"/>
      <c r="G75" s="124">
        <v>502</v>
      </c>
      <c r="H75" s="75">
        <v>300</v>
      </c>
      <c r="I75" s="75">
        <v>489</v>
      </c>
      <c r="J75" s="75">
        <v>788</v>
      </c>
    </row>
    <row r="77" spans="2:10" ht="15">
      <c r="B77" s="76" t="s">
        <v>119</v>
      </c>
      <c r="C77" s="73"/>
      <c r="D77" s="73"/>
      <c r="E77" s="73"/>
      <c r="F77" s="73"/>
      <c r="G77" s="74"/>
      <c r="H77" s="74"/>
      <c r="I77" s="74"/>
      <c r="J77" s="74"/>
    </row>
    <row r="78" spans="2:10">
      <c r="B78" s="73" t="s">
        <v>120</v>
      </c>
      <c r="C78" s="73"/>
      <c r="D78" s="73"/>
      <c r="E78" s="73"/>
      <c r="F78" s="73"/>
      <c r="G78" s="124">
        <v>0</v>
      </c>
      <c r="H78" s="75">
        <v>24585</v>
      </c>
      <c r="I78" s="75">
        <v>-4207</v>
      </c>
      <c r="J78" s="75">
        <v>38252</v>
      </c>
    </row>
    <row r="79" spans="2:10">
      <c r="B79" s="73" t="s">
        <v>121</v>
      </c>
      <c r="C79" s="73"/>
      <c r="D79" s="73"/>
      <c r="E79" s="73"/>
      <c r="F79" s="73"/>
      <c r="G79" s="124">
        <v>0</v>
      </c>
      <c r="H79" s="75">
        <v>0</v>
      </c>
      <c r="I79" s="75">
        <v>0</v>
      </c>
      <c r="J79" s="75">
        <v>-490530</v>
      </c>
    </row>
    <row r="80" spans="2:10">
      <c r="B80" s="73" t="s">
        <v>122</v>
      </c>
      <c r="C80" s="73"/>
      <c r="D80" s="73"/>
      <c r="E80" s="73"/>
      <c r="F80" s="73"/>
      <c r="G80" s="124">
        <v>-809</v>
      </c>
      <c r="H80" s="75">
        <v>-1235</v>
      </c>
      <c r="I80" s="75">
        <v>-4535</v>
      </c>
      <c r="J80" s="75">
        <v>-10594</v>
      </c>
    </row>
    <row r="81" spans="2:10">
      <c r="B81" s="73" t="s">
        <v>123</v>
      </c>
      <c r="C81" s="73"/>
      <c r="D81" s="73"/>
      <c r="E81" s="73"/>
      <c r="F81" s="73"/>
      <c r="G81" s="124">
        <v>17599</v>
      </c>
      <c r="H81" s="75">
        <v>-19437</v>
      </c>
      <c r="I81" s="75">
        <v>-14120</v>
      </c>
      <c r="J81" s="75">
        <v>-18471</v>
      </c>
    </row>
    <row r="82" spans="2:10">
      <c r="B82" s="73" t="s">
        <v>124</v>
      </c>
      <c r="C82" s="73"/>
      <c r="D82" s="73"/>
      <c r="E82" s="73"/>
      <c r="F82" s="73"/>
      <c r="G82" s="124">
        <v>231746</v>
      </c>
      <c r="H82" s="75">
        <v>272371</v>
      </c>
      <c r="I82" s="75">
        <v>431788</v>
      </c>
      <c r="J82" s="75">
        <v>730248</v>
      </c>
    </row>
    <row r="83" spans="2:10">
      <c r="B83" s="73" t="s">
        <v>125</v>
      </c>
      <c r="C83" s="73"/>
      <c r="D83" s="73"/>
      <c r="E83" s="73"/>
      <c r="F83" s="73"/>
      <c r="G83" s="124">
        <v>3116</v>
      </c>
      <c r="H83" s="75">
        <v>4059</v>
      </c>
      <c r="I83" s="75">
        <v>5911</v>
      </c>
      <c r="J83" s="75">
        <v>8655</v>
      </c>
    </row>
    <row r="84" spans="2:10">
      <c r="B84" s="73" t="s">
        <v>126</v>
      </c>
      <c r="C84" s="73"/>
      <c r="D84" s="73"/>
      <c r="E84" s="73"/>
      <c r="F84" s="73"/>
      <c r="G84" s="124">
        <v>0</v>
      </c>
      <c r="H84" s="75">
        <v>0</v>
      </c>
      <c r="I84" s="75">
        <v>0</v>
      </c>
      <c r="J84" s="75">
        <v>5214</v>
      </c>
    </row>
    <row r="85" spans="2:10">
      <c r="B85" s="73" t="s">
        <v>127</v>
      </c>
      <c r="C85" s="73"/>
      <c r="D85" s="73"/>
      <c r="E85" s="73"/>
      <c r="F85" s="73"/>
      <c r="G85" s="124">
        <v>0</v>
      </c>
      <c r="H85" s="75">
        <v>-89659</v>
      </c>
      <c r="I85" s="75">
        <v>0</v>
      </c>
      <c r="J85" s="75">
        <v>0</v>
      </c>
    </row>
    <row r="86" spans="2:10">
      <c r="B86" s="73" t="s">
        <v>128</v>
      </c>
      <c r="C86" s="73"/>
      <c r="D86" s="73"/>
      <c r="E86" s="73"/>
      <c r="F86" s="73"/>
      <c r="G86" s="124">
        <v>-18218</v>
      </c>
      <c r="H86" s="75">
        <v>-24429</v>
      </c>
      <c r="I86" s="75">
        <v>0</v>
      </c>
      <c r="J86" s="75">
        <v>0</v>
      </c>
    </row>
    <row r="88" spans="2:10" ht="15">
      <c r="B88" s="76" t="s">
        <v>129</v>
      </c>
      <c r="C88" s="73"/>
      <c r="D88" s="73"/>
      <c r="E88" s="73"/>
      <c r="F88" s="73"/>
      <c r="G88" s="74"/>
      <c r="H88" s="74"/>
      <c r="I88" s="74"/>
      <c r="J88" s="74"/>
    </row>
    <row r="89" spans="2:10">
      <c r="B89" s="73" t="s">
        <v>130</v>
      </c>
      <c r="C89" s="73"/>
      <c r="D89" s="73"/>
      <c r="E89" s="73"/>
      <c r="F89" s="73"/>
      <c r="G89" s="124">
        <v>28886</v>
      </c>
      <c r="H89" s="75">
        <v>21879</v>
      </c>
      <c r="I89" s="75">
        <v>62499</v>
      </c>
      <c r="J89" s="75">
        <v>163356</v>
      </c>
    </row>
    <row r="90" spans="2:10">
      <c r="B90" s="73" t="s">
        <v>131</v>
      </c>
      <c r="C90" s="73"/>
      <c r="D90" s="73"/>
      <c r="E90" s="73"/>
      <c r="F90" s="73"/>
      <c r="G90" s="124">
        <v>2365</v>
      </c>
      <c r="H90" s="75">
        <v>1810</v>
      </c>
      <c r="I90" s="75">
        <v>1649</v>
      </c>
      <c r="J90" s="75">
        <v>7880</v>
      </c>
    </row>
    <row r="91" spans="2:10">
      <c r="B91" s="73" t="s">
        <v>132</v>
      </c>
      <c r="C91" s="73"/>
      <c r="D91" s="73"/>
      <c r="E91" s="73"/>
      <c r="F91" s="73"/>
      <c r="G91" s="124">
        <v>1925</v>
      </c>
      <c r="H91" s="75">
        <v>2894</v>
      </c>
      <c r="I91" s="75">
        <v>3093</v>
      </c>
      <c r="J91" s="75">
        <v>3320</v>
      </c>
    </row>
    <row r="92" spans="2:10">
      <c r="B92" s="73" t="s">
        <v>133</v>
      </c>
      <c r="C92" s="73"/>
      <c r="D92" s="73"/>
      <c r="E92" s="73"/>
      <c r="F92" s="73"/>
      <c r="G92" s="124">
        <v>30350</v>
      </c>
      <c r="H92" s="75">
        <v>0</v>
      </c>
      <c r="I92" s="75">
        <v>0</v>
      </c>
      <c r="J92" s="75">
        <v>55101</v>
      </c>
    </row>
    <row r="93" spans="2:10">
      <c r="B93" s="73" t="s">
        <v>134</v>
      </c>
      <c r="C93" s="73"/>
      <c r="D93" s="73"/>
      <c r="E93" s="73"/>
      <c r="F93" s="73"/>
      <c r="G93" s="124">
        <v>-9242</v>
      </c>
      <c r="H93" s="75">
        <v>26381</v>
      </c>
      <c r="I93" s="75">
        <v>-14855</v>
      </c>
      <c r="J93" s="75">
        <v>14123</v>
      </c>
    </row>
    <row r="94" spans="2:10">
      <c r="B94" s="73" t="s">
        <v>135</v>
      </c>
      <c r="C94" s="73"/>
      <c r="D94" s="73"/>
      <c r="E94" s="73"/>
      <c r="F94" s="73"/>
      <c r="G94" s="124">
        <v>52817</v>
      </c>
      <c r="H94" s="75">
        <v>72044</v>
      </c>
      <c r="I94" s="75">
        <v>0</v>
      </c>
      <c r="J94" s="75">
        <v>0</v>
      </c>
    </row>
    <row r="96" spans="2:10" ht="15">
      <c r="B96" s="76" t="s">
        <v>136</v>
      </c>
      <c r="C96" s="73"/>
      <c r="D96" s="73"/>
      <c r="E96" s="73"/>
      <c r="F96" s="73"/>
      <c r="G96" s="74"/>
      <c r="H96" s="74"/>
      <c r="I96" s="74"/>
      <c r="J96" s="74"/>
    </row>
    <row r="97" spans="2:10">
      <c r="B97" s="73" t="s">
        <v>137</v>
      </c>
      <c r="C97" s="73"/>
      <c r="D97" s="73"/>
      <c r="E97" s="73"/>
      <c r="F97" s="73"/>
      <c r="G97" s="124">
        <v>-34515</v>
      </c>
      <c r="H97" s="75">
        <v>-81260</v>
      </c>
      <c r="I97" s="75">
        <v>-210622</v>
      </c>
      <c r="J97" s="75">
        <v>-221134</v>
      </c>
    </row>
    <row r="98" spans="2:10">
      <c r="B98" s="73" t="s">
        <v>138</v>
      </c>
      <c r="C98" s="73"/>
      <c r="D98" s="73"/>
      <c r="E98" s="73"/>
      <c r="F98" s="73"/>
      <c r="G98" s="124">
        <v>500</v>
      </c>
      <c r="H98" s="75">
        <v>2058</v>
      </c>
      <c r="I98" s="75">
        <v>-1720</v>
      </c>
      <c r="J98" s="75">
        <v>-1046</v>
      </c>
    </row>
    <row r="99" spans="2:10">
      <c r="B99" s="73" t="s">
        <v>139</v>
      </c>
      <c r="C99" s="73"/>
      <c r="D99" s="73"/>
      <c r="E99" s="73"/>
      <c r="F99" s="73"/>
      <c r="G99" s="124">
        <v>40183</v>
      </c>
      <c r="H99" s="75">
        <v>61230</v>
      </c>
      <c r="I99" s="75">
        <v>112380</v>
      </c>
      <c r="J99" s="75">
        <v>-39172</v>
      </c>
    </row>
    <row r="100" spans="2:10">
      <c r="B100" s="73" t="s">
        <v>140</v>
      </c>
      <c r="C100" s="73"/>
      <c r="D100" s="73"/>
      <c r="E100" s="73"/>
      <c r="F100" s="73"/>
      <c r="G100" s="124">
        <v>-254</v>
      </c>
      <c r="H100" s="75">
        <v>-283</v>
      </c>
      <c r="I100" s="75">
        <v>-424</v>
      </c>
      <c r="J100" s="75">
        <v>-494</v>
      </c>
    </row>
    <row r="101" spans="2:10">
      <c r="B101" s="73" t="s">
        <v>141</v>
      </c>
      <c r="C101" s="73"/>
      <c r="D101" s="73"/>
      <c r="E101" s="73"/>
      <c r="F101" s="73"/>
      <c r="G101" s="124">
        <v>2877</v>
      </c>
      <c r="H101" s="75">
        <v>-26441</v>
      </c>
      <c r="I101" s="75">
        <v>-16247</v>
      </c>
      <c r="J101" s="75">
        <v>-109852</v>
      </c>
    </row>
    <row r="102" spans="2:10">
      <c r="B102" s="73" t="s">
        <v>142</v>
      </c>
      <c r="C102" s="73"/>
      <c r="D102" s="73"/>
      <c r="E102" s="73"/>
      <c r="F102" s="73"/>
      <c r="G102" s="124">
        <v>-8024</v>
      </c>
      <c r="H102" s="75">
        <v>-43507</v>
      </c>
      <c r="I102" s="75">
        <v>-23396</v>
      </c>
      <c r="J102" s="75">
        <v>-24660</v>
      </c>
    </row>
    <row r="103" spans="2:10">
      <c r="B103" s="73" t="s">
        <v>143</v>
      </c>
      <c r="C103" s="73"/>
      <c r="D103" s="73"/>
      <c r="E103" s="73"/>
      <c r="F103" s="73"/>
      <c r="G103" s="124">
        <v>-2265</v>
      </c>
      <c r="H103" s="75">
        <v>-1359</v>
      </c>
      <c r="I103" s="75">
        <v>-751</v>
      </c>
      <c r="J103" s="75">
        <v>-1600</v>
      </c>
    </row>
    <row r="104" spans="2:10">
      <c r="B104" s="73" t="s">
        <v>144</v>
      </c>
      <c r="C104" s="73"/>
      <c r="D104" s="73"/>
      <c r="E104" s="73"/>
      <c r="F104" s="73"/>
      <c r="G104" s="124">
        <v>-74354</v>
      </c>
      <c r="H104" s="75">
        <v>-67213</v>
      </c>
      <c r="I104" s="75">
        <v>-29319</v>
      </c>
      <c r="J104" s="75">
        <v>-431650</v>
      </c>
    </row>
    <row r="106" spans="2:10" ht="15">
      <c r="B106" s="76" t="s">
        <v>145</v>
      </c>
      <c r="C106" s="76"/>
      <c r="D106" s="76"/>
      <c r="E106" s="76"/>
      <c r="F106" s="76"/>
      <c r="G106" s="125">
        <v>689771</v>
      </c>
      <c r="H106" s="77">
        <v>712033</v>
      </c>
      <c r="I106" s="77">
        <v>959026</v>
      </c>
      <c r="J106" s="77">
        <v>796191</v>
      </c>
    </row>
    <row r="107" spans="2:10">
      <c r="B107" s="73"/>
      <c r="C107" s="73"/>
      <c r="D107" s="73"/>
      <c r="E107" s="73"/>
      <c r="F107" s="73"/>
      <c r="G107" s="74"/>
      <c r="H107" s="74"/>
      <c r="I107" s="74"/>
      <c r="J107" s="74"/>
    </row>
    <row r="108" spans="2:10" ht="15">
      <c r="B108" s="76" t="s">
        <v>146</v>
      </c>
      <c r="C108" s="73"/>
      <c r="D108" s="73"/>
      <c r="E108" s="73"/>
      <c r="F108" s="73"/>
      <c r="G108" s="74"/>
      <c r="H108" s="74"/>
      <c r="I108" s="74"/>
      <c r="J108" s="74"/>
    </row>
    <row r="109" spans="2:10">
      <c r="B109" s="73" t="s">
        <v>147</v>
      </c>
      <c r="C109" s="73"/>
      <c r="D109" s="73"/>
      <c r="E109" s="73"/>
      <c r="F109" s="73"/>
      <c r="G109" s="124">
        <v>-479025</v>
      </c>
      <c r="H109" s="75">
        <v>-688437</v>
      </c>
      <c r="I109" s="75">
        <v>-1052530</v>
      </c>
      <c r="J109" s="75">
        <v>-1455411</v>
      </c>
    </row>
    <row r="110" spans="2:10">
      <c r="B110" s="73" t="s">
        <v>148</v>
      </c>
      <c r="C110" s="73"/>
      <c r="D110" s="73"/>
      <c r="E110" s="73"/>
      <c r="F110" s="73"/>
      <c r="G110" s="124">
        <v>809</v>
      </c>
      <c r="H110" s="75">
        <v>1235</v>
      </c>
      <c r="I110" s="75">
        <v>4535</v>
      </c>
      <c r="J110" s="75">
        <v>10594</v>
      </c>
    </row>
    <row r="111" spans="2:10">
      <c r="B111" s="73" t="s">
        <v>149</v>
      </c>
      <c r="C111" s="73"/>
      <c r="D111" s="73"/>
      <c r="E111" s="73"/>
      <c r="F111" s="73"/>
      <c r="G111" s="124">
        <v>-6030</v>
      </c>
      <c r="H111" s="75">
        <v>-7293</v>
      </c>
      <c r="I111" s="75">
        <v>-11328</v>
      </c>
      <c r="J111" s="75">
        <v>-11720</v>
      </c>
    </row>
    <row r="112" spans="2:10">
      <c r="B112" s="73" t="s">
        <v>150</v>
      </c>
      <c r="C112" s="73"/>
      <c r="D112" s="73"/>
      <c r="E112" s="73"/>
      <c r="F112" s="73"/>
      <c r="G112" s="124">
        <v>0</v>
      </c>
      <c r="H112" s="75">
        <v>10000</v>
      </c>
      <c r="I112" s="75">
        <v>10734</v>
      </c>
      <c r="J112" s="75">
        <v>5734</v>
      </c>
    </row>
    <row r="113" spans="2:10">
      <c r="B113" s="73" t="s">
        <v>151</v>
      </c>
      <c r="C113" s="73"/>
      <c r="D113" s="73"/>
      <c r="E113" s="73"/>
      <c r="F113" s="73"/>
      <c r="G113" s="124">
        <v>-3466</v>
      </c>
      <c r="H113" s="75">
        <v>-2176</v>
      </c>
      <c r="I113" s="75">
        <v>-3287</v>
      </c>
      <c r="J113" s="75">
        <v>-56706</v>
      </c>
    </row>
    <row r="114" spans="2:10">
      <c r="B114" s="73" t="s">
        <v>152</v>
      </c>
      <c r="C114" s="73"/>
      <c r="D114" s="73"/>
      <c r="E114" s="73"/>
      <c r="F114" s="73"/>
      <c r="G114" s="124">
        <v>0</v>
      </c>
      <c r="H114" s="75">
        <v>0</v>
      </c>
      <c r="I114" s="75">
        <v>0</v>
      </c>
      <c r="J114" s="75">
        <v>-841555</v>
      </c>
    </row>
    <row r="115" spans="2:10">
      <c r="B115" s="73" t="s">
        <v>153</v>
      </c>
      <c r="C115" s="73"/>
      <c r="D115" s="73"/>
      <c r="E115" s="73"/>
      <c r="F115" s="73"/>
      <c r="G115" s="124">
        <v>20000</v>
      </c>
      <c r="H115" s="75">
        <v>26650</v>
      </c>
      <c r="I115" s="75">
        <v>0</v>
      </c>
      <c r="J115" s="75">
        <v>0</v>
      </c>
    </row>
    <row r="116" spans="2:10">
      <c r="B116" s="73" t="s">
        <v>154</v>
      </c>
      <c r="C116" s="73"/>
      <c r="D116" s="73"/>
      <c r="E116" s="73"/>
      <c r="F116" s="73"/>
      <c r="G116" s="124">
        <v>0</v>
      </c>
      <c r="H116" s="75">
        <v>-14292</v>
      </c>
      <c r="I116" s="75">
        <v>0</v>
      </c>
      <c r="J116" s="75">
        <v>0</v>
      </c>
    </row>
    <row r="117" spans="2:10">
      <c r="B117" s="73" t="s">
        <v>155</v>
      </c>
      <c r="C117" s="73"/>
      <c r="D117" s="73"/>
      <c r="E117" s="73"/>
      <c r="F117" s="73"/>
      <c r="G117" s="124">
        <v>-115000</v>
      </c>
      <c r="H117" s="75">
        <v>-25000</v>
      </c>
      <c r="I117" s="75">
        <v>0</v>
      </c>
      <c r="J117" s="75">
        <v>0</v>
      </c>
    </row>
    <row r="119" spans="2:10" ht="15">
      <c r="B119" s="76" t="s">
        <v>156</v>
      </c>
      <c r="C119" s="76"/>
      <c r="D119" s="76"/>
      <c r="E119" s="76"/>
      <c r="F119" s="76"/>
      <c r="G119" s="125">
        <v>-582712</v>
      </c>
      <c r="H119" s="77">
        <v>-699313</v>
      </c>
      <c r="I119" s="77">
        <v>-1051876</v>
      </c>
      <c r="J119" s="77">
        <v>-2349064</v>
      </c>
    </row>
    <row r="120" spans="2:10">
      <c r="B120" s="73"/>
      <c r="C120" s="73"/>
      <c r="D120" s="73"/>
      <c r="E120" s="73"/>
      <c r="F120" s="73"/>
      <c r="G120" s="74"/>
      <c r="H120" s="74"/>
      <c r="I120" s="74"/>
      <c r="J120" s="74"/>
    </row>
    <row r="121" spans="2:10" ht="15">
      <c r="B121" s="76" t="s">
        <v>157</v>
      </c>
      <c r="C121" s="73"/>
      <c r="D121" s="73"/>
      <c r="E121" s="73"/>
      <c r="F121" s="73"/>
      <c r="G121" s="74"/>
      <c r="H121" s="74"/>
      <c r="I121" s="74"/>
      <c r="J121" s="74"/>
    </row>
    <row r="122" spans="2:10">
      <c r="B122" s="73" t="s">
        <v>158</v>
      </c>
      <c r="C122" s="73"/>
      <c r="D122" s="73"/>
      <c r="E122" s="73"/>
      <c r="F122" s="73"/>
      <c r="G122" s="124">
        <v>128788</v>
      </c>
      <c r="H122" s="75">
        <v>318169</v>
      </c>
      <c r="I122" s="75">
        <v>1320897</v>
      </c>
      <c r="J122" s="75">
        <v>2838173</v>
      </c>
    </row>
    <row r="123" spans="2:10">
      <c r="B123" s="73" t="s">
        <v>159</v>
      </c>
      <c r="C123" s="73"/>
      <c r="D123" s="73"/>
      <c r="E123" s="73"/>
      <c r="F123" s="73"/>
      <c r="G123" s="124">
        <v>-195091</v>
      </c>
      <c r="H123" s="75">
        <v>-211499</v>
      </c>
      <c r="I123" s="75">
        <v>-470351</v>
      </c>
      <c r="J123" s="75">
        <v>-1173623</v>
      </c>
    </row>
    <row r="124" spans="2:10">
      <c r="B124" s="73" t="s">
        <v>160</v>
      </c>
      <c r="C124" s="73"/>
      <c r="D124" s="73"/>
      <c r="E124" s="73"/>
      <c r="F124" s="73"/>
      <c r="G124" s="124">
        <v>-34430</v>
      </c>
      <c r="H124" s="75">
        <v>-22993</v>
      </c>
      <c r="I124" s="75">
        <v>-53897</v>
      </c>
      <c r="J124" s="75">
        <v>-148310</v>
      </c>
    </row>
    <row r="125" spans="2:10">
      <c r="B125" s="73" t="s">
        <v>161</v>
      </c>
      <c r="C125" s="73"/>
      <c r="D125" s="73"/>
      <c r="E125" s="73"/>
      <c r="F125" s="73"/>
      <c r="G125" s="124">
        <v>-1670</v>
      </c>
      <c r="H125" s="75">
        <v>-1779</v>
      </c>
      <c r="I125" s="75">
        <v>-7631</v>
      </c>
      <c r="J125" s="75">
        <v>-17935</v>
      </c>
    </row>
    <row r="126" spans="2:10">
      <c r="B126" s="73" t="s">
        <v>162</v>
      </c>
      <c r="C126" s="73"/>
      <c r="D126" s="73"/>
      <c r="E126" s="73"/>
      <c r="F126" s="73"/>
      <c r="G126" s="124">
        <v>0</v>
      </c>
      <c r="H126" s="75">
        <v>0</v>
      </c>
      <c r="I126" s="75">
        <v>0</v>
      </c>
      <c r="J126" s="75">
        <v>-22045</v>
      </c>
    </row>
    <row r="127" spans="2:10">
      <c r="B127" s="73" t="s">
        <v>163</v>
      </c>
      <c r="C127" s="73"/>
      <c r="D127" s="73"/>
      <c r="E127" s="73"/>
      <c r="F127" s="73"/>
      <c r="G127" s="124">
        <v>0</v>
      </c>
      <c r="H127" s="75">
        <v>-25562</v>
      </c>
      <c r="I127" s="75">
        <v>8680</v>
      </c>
      <c r="J127" s="75">
        <v>-7948</v>
      </c>
    </row>
    <row r="128" spans="2:10">
      <c r="B128" s="73" t="s">
        <v>164</v>
      </c>
      <c r="C128" s="73"/>
      <c r="D128" s="73"/>
      <c r="E128" s="73"/>
      <c r="F128" s="73"/>
      <c r="G128" s="124">
        <v>-11494</v>
      </c>
      <c r="H128" s="75">
        <v>-36780</v>
      </c>
      <c r="I128" s="75">
        <v>-56641</v>
      </c>
      <c r="J128" s="75">
        <v>-90772</v>
      </c>
    </row>
    <row r="129" spans="2:10">
      <c r="B129" s="73" t="s">
        <v>165</v>
      </c>
      <c r="C129" s="73"/>
      <c r="D129" s="73"/>
      <c r="E129" s="73"/>
      <c r="F129" s="73"/>
      <c r="G129" s="124">
        <v>-29304</v>
      </c>
      <c r="H129" s="75">
        <v>0</v>
      </c>
      <c r="I129" s="75">
        <v>-99846</v>
      </c>
      <c r="J129" s="75">
        <v>-50000</v>
      </c>
    </row>
    <row r="131" spans="2:10" ht="15">
      <c r="B131" s="76" t="s">
        <v>166</v>
      </c>
      <c r="C131" s="76"/>
      <c r="D131" s="76"/>
      <c r="E131" s="76"/>
      <c r="F131" s="76"/>
      <c r="G131" s="125">
        <v>-143201</v>
      </c>
      <c r="H131" s="77">
        <v>19556</v>
      </c>
      <c r="I131" s="77">
        <v>641211</v>
      </c>
      <c r="J131" s="77">
        <v>1327540</v>
      </c>
    </row>
    <row r="132" spans="2:10">
      <c r="B132" s="73"/>
      <c r="C132" s="73"/>
      <c r="D132" s="73"/>
      <c r="E132" s="73"/>
      <c r="F132" s="73"/>
      <c r="G132" s="74"/>
      <c r="H132" s="74"/>
      <c r="I132" s="74"/>
      <c r="J132" s="74"/>
    </row>
    <row r="133" spans="2:10" ht="15">
      <c r="B133" s="76" t="s">
        <v>167</v>
      </c>
      <c r="C133" s="76"/>
      <c r="D133" s="76"/>
      <c r="E133" s="76"/>
      <c r="F133" s="76"/>
      <c r="G133" s="125">
        <v>-36142</v>
      </c>
      <c r="H133" s="77">
        <v>32276</v>
      </c>
      <c r="I133" s="77">
        <v>548361</v>
      </c>
      <c r="J133" s="77">
        <v>-225333</v>
      </c>
    </row>
    <row r="134" spans="2:10">
      <c r="B134" s="73" t="s">
        <v>168</v>
      </c>
      <c r="C134" s="73"/>
      <c r="D134" s="73"/>
      <c r="E134" s="73"/>
      <c r="F134" s="73"/>
      <c r="G134" s="124">
        <v>311217</v>
      </c>
      <c r="H134" s="75">
        <v>241956</v>
      </c>
      <c r="I134" s="75">
        <v>209516</v>
      </c>
      <c r="J134" s="75">
        <v>755610</v>
      </c>
    </row>
    <row r="135" spans="2:10">
      <c r="B135" s="73" t="s">
        <v>169</v>
      </c>
      <c r="C135" s="73"/>
      <c r="D135" s="73"/>
      <c r="E135" s="73"/>
      <c r="F135" s="73"/>
      <c r="G135" s="124">
        <v>-33119</v>
      </c>
      <c r="H135" s="75">
        <v>-64716</v>
      </c>
      <c r="I135" s="75">
        <v>-2267</v>
      </c>
      <c r="J135" s="75">
        <v>-4093</v>
      </c>
    </row>
    <row r="136" spans="2:10" ht="15">
      <c r="B136" s="76" t="s">
        <v>167</v>
      </c>
      <c r="C136" s="76"/>
      <c r="D136" s="76"/>
      <c r="E136" s="76"/>
      <c r="F136" s="76"/>
      <c r="G136" s="125">
        <v>-36142</v>
      </c>
      <c r="H136" s="77">
        <v>32276</v>
      </c>
      <c r="I136" s="77">
        <v>548361</v>
      </c>
      <c r="J136" s="77">
        <v>-225333</v>
      </c>
    </row>
    <row r="137" spans="2:10" ht="15">
      <c r="B137" s="76" t="s">
        <v>170</v>
      </c>
      <c r="C137" s="76"/>
      <c r="D137" s="76"/>
      <c r="E137" s="76"/>
      <c r="F137" s="76"/>
      <c r="G137" s="125">
        <v>241956</v>
      </c>
      <c r="H137" s="77">
        <v>209516</v>
      </c>
      <c r="I137" s="77">
        <v>755610</v>
      </c>
      <c r="J137" s="77">
        <v>526184</v>
      </c>
    </row>
    <row r="138" spans="2:10">
      <c r="B138" s="73"/>
      <c r="C138" s="73"/>
      <c r="D138" s="73"/>
      <c r="E138" s="73"/>
      <c r="F138" s="73"/>
      <c r="G138" s="74"/>
      <c r="H138" s="74"/>
      <c r="I138" s="74"/>
      <c r="J138" s="74"/>
    </row>
    <row r="139" spans="2:10" ht="15">
      <c r="B139" s="76" t="s">
        <v>171</v>
      </c>
      <c r="C139" s="73"/>
      <c r="D139" s="73"/>
      <c r="E139" s="73"/>
      <c r="F139" s="73"/>
      <c r="G139" s="74"/>
      <c r="H139" s="74"/>
      <c r="I139" s="74"/>
      <c r="J139" s="74"/>
    </row>
    <row r="140" spans="2:10">
      <c r="B140" s="73" t="s">
        <v>172</v>
      </c>
      <c r="C140" s="73"/>
      <c r="D140" s="73"/>
      <c r="E140" s="73"/>
      <c r="F140" s="73"/>
      <c r="G140" s="124">
        <v>0</v>
      </c>
      <c r="H140" s="75">
        <v>0</v>
      </c>
      <c r="I140" s="75">
        <v>0</v>
      </c>
      <c r="J140" s="75">
        <v>506754</v>
      </c>
    </row>
    <row r="141" spans="2:10">
      <c r="B141" s="73" t="s">
        <v>173</v>
      </c>
      <c r="C141" s="73"/>
      <c r="D141" s="73"/>
      <c r="E141" s="73"/>
      <c r="F141" s="73"/>
      <c r="G141" s="124">
        <v>138543</v>
      </c>
      <c r="H141" s="75">
        <v>152607</v>
      </c>
      <c r="I141" s="75">
        <v>341448</v>
      </c>
      <c r="J141" s="75">
        <v>141181</v>
      </c>
    </row>
    <row r="142" spans="2:10">
      <c r="B142" s="73" t="s">
        <v>174</v>
      </c>
      <c r="C142" s="73"/>
      <c r="D142" s="73"/>
      <c r="E142" s="73"/>
      <c r="F142" s="73"/>
      <c r="G142" s="124">
        <v>0</v>
      </c>
      <c r="H142" s="75">
        <v>0</v>
      </c>
      <c r="I142" s="75">
        <v>0</v>
      </c>
      <c r="J142" s="75">
        <v>109538</v>
      </c>
    </row>
    <row r="143" spans="2:10">
      <c r="B143" s="73" t="s">
        <v>175</v>
      </c>
      <c r="C143" s="73"/>
      <c r="D143" s="73"/>
      <c r="E143" s="73"/>
      <c r="F143" s="73"/>
      <c r="G143" s="124">
        <v>-713</v>
      </c>
      <c r="H143" s="75">
        <v>-930</v>
      </c>
      <c r="I143" s="75">
        <v>23325</v>
      </c>
      <c r="J143" s="75">
        <v>5397</v>
      </c>
    </row>
    <row r="144" spans="2:10">
      <c r="B144" s="73" t="s">
        <v>176</v>
      </c>
      <c r="C144" s="73"/>
      <c r="D144" s="73"/>
      <c r="E144" s="73"/>
      <c r="F144" s="73"/>
      <c r="G144" s="124">
        <v>0</v>
      </c>
      <c r="H144" s="75">
        <v>-116071</v>
      </c>
      <c r="I144" s="75">
        <v>0</v>
      </c>
      <c r="J144" s="75">
        <v>0</v>
      </c>
    </row>
    <row r="147" spans="2:10" ht="15">
      <c r="B147" s="67" t="s">
        <v>177</v>
      </c>
      <c r="C147" s="6"/>
      <c r="D147" s="6"/>
      <c r="E147" s="6"/>
      <c r="F147" s="6"/>
      <c r="G147" s="6"/>
      <c r="H147" s="6"/>
      <c r="I147" s="6"/>
      <c r="J147" s="6"/>
    </row>
    <row r="149" spans="2:10" ht="15">
      <c r="B149" s="68" t="s">
        <v>76</v>
      </c>
      <c r="G149" s="4">
        <v>2022</v>
      </c>
      <c r="H149" s="4">
        <v>2023</v>
      </c>
      <c r="I149" s="4">
        <v>2024</v>
      </c>
      <c r="J149" s="4">
        <v>2025</v>
      </c>
    </row>
    <row r="151" spans="2:10" ht="15">
      <c r="B151" s="79" t="s">
        <v>178</v>
      </c>
    </row>
    <row r="152" spans="2:10" ht="15">
      <c r="B152" s="79" t="s">
        <v>179</v>
      </c>
    </row>
    <row r="154" spans="2:10">
      <c r="B154" s="78" t="s">
        <v>180</v>
      </c>
      <c r="G154" s="124">
        <v>1606339</v>
      </c>
      <c r="H154" s="124">
        <v>1927759</v>
      </c>
      <c r="I154" s="75">
        <v>2805983</v>
      </c>
      <c r="J154" s="75">
        <v>5543032</v>
      </c>
    </row>
    <row r="155" spans="2:10">
      <c r="B155" s="78" t="s">
        <v>181</v>
      </c>
      <c r="G155" s="124">
        <v>28288</v>
      </c>
      <c r="H155" s="124">
        <v>22576</v>
      </c>
      <c r="I155" s="75">
        <v>22576</v>
      </c>
      <c r="J155" s="75">
        <v>22576</v>
      </c>
    </row>
    <row r="156" spans="2:10">
      <c r="B156" s="78" t="s">
        <v>182</v>
      </c>
      <c r="G156" s="124">
        <v>6792</v>
      </c>
      <c r="H156" s="124">
        <v>10026</v>
      </c>
      <c r="I156" s="75">
        <v>15443</v>
      </c>
      <c r="J156" s="75">
        <v>18485</v>
      </c>
    </row>
    <row r="157" spans="2:10">
      <c r="B157" s="78" t="s">
        <v>183</v>
      </c>
      <c r="G157" s="124">
        <v>26228</v>
      </c>
      <c r="H157" s="124">
        <v>61025</v>
      </c>
      <c r="I157" s="75">
        <v>105333</v>
      </c>
      <c r="J157" s="75">
        <v>153283</v>
      </c>
    </row>
    <row r="158" spans="2:10">
      <c r="B158" s="78" t="s">
        <v>184</v>
      </c>
      <c r="G158" s="124">
        <v>0</v>
      </c>
      <c r="H158" s="124">
        <v>0</v>
      </c>
      <c r="I158" s="75">
        <v>10027</v>
      </c>
      <c r="J158" s="75">
        <v>15855</v>
      </c>
    </row>
    <row r="159" spans="2:10">
      <c r="B159" s="78" t="s">
        <v>185</v>
      </c>
      <c r="G159" s="124">
        <v>6443</v>
      </c>
      <c r="H159" s="124">
        <v>8619</v>
      </c>
      <c r="I159" s="75">
        <v>11906</v>
      </c>
      <c r="J159" s="75">
        <v>54542</v>
      </c>
    </row>
    <row r="160" spans="2:10">
      <c r="B160" s="78" t="s">
        <v>137</v>
      </c>
      <c r="G160" s="124">
        <v>15864</v>
      </c>
      <c r="H160" s="124">
        <v>136351</v>
      </c>
      <c r="I160" s="75">
        <v>205268</v>
      </c>
      <c r="J160" s="75">
        <v>373026</v>
      </c>
    </row>
    <row r="161" spans="2:10">
      <c r="B161" s="78" t="s">
        <v>186</v>
      </c>
      <c r="G161" s="124">
        <v>335</v>
      </c>
      <c r="H161" s="124">
        <v>5743</v>
      </c>
      <c r="I161" s="75">
        <v>3565</v>
      </c>
      <c r="J161" s="75">
        <v>36514</v>
      </c>
    </row>
    <row r="163" spans="2:10" ht="15">
      <c r="B163" s="79" t="s">
        <v>187</v>
      </c>
      <c r="G163" s="125">
        <f>SUM(G154:G161)</f>
        <v>1690289</v>
      </c>
      <c r="H163" s="125">
        <f>SUM(H154:H161)</f>
        <v>2172099</v>
      </c>
      <c r="I163" s="80">
        <f>SUM(I154:I161)</f>
        <v>3180101</v>
      </c>
      <c r="J163" s="80">
        <f>SUM(J154:J161)</f>
        <v>6217313</v>
      </c>
    </row>
    <row r="164" spans="2:10" ht="15">
      <c r="B164" s="79" t="s">
        <v>188</v>
      </c>
    </row>
    <row r="166" spans="2:10">
      <c r="B166" s="78" t="s">
        <v>138</v>
      </c>
      <c r="G166" s="124">
        <v>12899</v>
      </c>
      <c r="H166" s="124">
        <v>7549</v>
      </c>
      <c r="I166" s="75">
        <v>6469</v>
      </c>
      <c r="J166" s="75">
        <v>9457</v>
      </c>
    </row>
    <row r="167" spans="2:10">
      <c r="B167" s="78" t="s">
        <v>137</v>
      </c>
      <c r="G167" s="124">
        <v>90406</v>
      </c>
      <c r="H167" s="124">
        <v>205102</v>
      </c>
      <c r="I167" s="75">
        <v>281495</v>
      </c>
      <c r="J167" s="75">
        <v>347681</v>
      </c>
    </row>
    <row r="168" spans="2:10">
      <c r="B168" s="78" t="s">
        <v>189</v>
      </c>
      <c r="G168" s="124">
        <v>244385</v>
      </c>
      <c r="H168" s="124">
        <v>213253</v>
      </c>
      <c r="I168" s="75">
        <v>764307</v>
      </c>
      <c r="J168" s="75">
        <v>538402</v>
      </c>
    </row>
    <row r="170" spans="2:10" ht="15">
      <c r="B170" s="79" t="s">
        <v>190</v>
      </c>
      <c r="G170" s="125">
        <f>SUM(G166:G168)</f>
        <v>347690</v>
      </c>
      <c r="H170" s="125">
        <f>SUM(H166:H168)</f>
        <v>425904</v>
      </c>
      <c r="I170" s="80">
        <f>SUM(I166:I168)</f>
        <v>1052271</v>
      </c>
      <c r="J170" s="80">
        <f>SUM(J166:J168)</f>
        <v>895540</v>
      </c>
    </row>
    <row r="171" spans="2:10" ht="15">
      <c r="B171" s="79" t="s">
        <v>38</v>
      </c>
      <c r="G171" s="125">
        <f>G163+G170</f>
        <v>2037979</v>
      </c>
      <c r="H171" s="125">
        <f>H163+H170</f>
        <v>2598003</v>
      </c>
      <c r="I171" s="80">
        <f>I163+I170</f>
        <v>4232372</v>
      </c>
      <c r="J171" s="80">
        <f>J163+J170</f>
        <v>7112853</v>
      </c>
    </row>
    <row r="173" spans="2:10" ht="15">
      <c r="B173" s="79" t="s">
        <v>191</v>
      </c>
    </row>
    <row r="174" spans="2:10" ht="15">
      <c r="B174" s="79" t="s">
        <v>192</v>
      </c>
    </row>
    <row r="176" spans="2:10" ht="15">
      <c r="B176" s="79" t="s">
        <v>193</v>
      </c>
      <c r="G176" s="124">
        <v>517873</v>
      </c>
      <c r="H176" s="124">
        <v>517874</v>
      </c>
      <c r="I176" s="75">
        <v>398064</v>
      </c>
      <c r="J176" s="75">
        <v>491165</v>
      </c>
    </row>
    <row r="177" spans="2:10" ht="15">
      <c r="B177" s="79" t="s">
        <v>194</v>
      </c>
      <c r="G177" s="124">
        <v>32144</v>
      </c>
      <c r="H177" s="124">
        <v>32144</v>
      </c>
      <c r="I177" s="75">
        <v>32144</v>
      </c>
      <c r="J177" s="75">
        <v>32144</v>
      </c>
    </row>
    <row r="178" spans="2:10" ht="15">
      <c r="B178" s="79" t="s">
        <v>195</v>
      </c>
      <c r="G178" s="124">
        <v>2603</v>
      </c>
      <c r="H178" s="124">
        <v>8233</v>
      </c>
      <c r="I178" s="75">
        <v>8233</v>
      </c>
      <c r="J178" s="75">
        <v>8233</v>
      </c>
    </row>
    <row r="179" spans="2:10" ht="15">
      <c r="B179" s="79" t="s">
        <v>111</v>
      </c>
      <c r="G179" s="124">
        <v>40744</v>
      </c>
      <c r="H179" s="124">
        <v>42476</v>
      </c>
      <c r="I179" s="75">
        <v>45628</v>
      </c>
      <c r="J179" s="75">
        <v>-32765</v>
      </c>
    </row>
    <row r="180" spans="2:10" ht="15">
      <c r="B180" s="79" t="s">
        <v>196</v>
      </c>
      <c r="G180" s="124">
        <v>49465</v>
      </c>
      <c r="H180" s="124">
        <v>79324</v>
      </c>
      <c r="I180" s="75">
        <v>129324</v>
      </c>
      <c r="J180" s="75">
        <v>179324</v>
      </c>
    </row>
    <row r="181" spans="2:10" ht="15">
      <c r="B181" s="79" t="s">
        <v>197</v>
      </c>
      <c r="G181" s="124">
        <v>-8694</v>
      </c>
      <c r="H181" s="124">
        <v>-4427</v>
      </c>
      <c r="I181" s="75">
        <v>-11057</v>
      </c>
      <c r="J181" s="75">
        <v>-11034</v>
      </c>
    </row>
    <row r="182" spans="2:10" ht="15">
      <c r="B182" s="79" t="s">
        <v>198</v>
      </c>
      <c r="G182" s="124">
        <v>209925</v>
      </c>
      <c r="H182" s="124">
        <v>571391</v>
      </c>
      <c r="I182" s="75">
        <v>1018877</v>
      </c>
      <c r="J182" s="75">
        <v>1844527</v>
      </c>
    </row>
    <row r="184" spans="2:10" ht="15">
      <c r="B184" s="79" t="s">
        <v>40</v>
      </c>
      <c r="G184" s="125">
        <f>SUM(G176:G182)</f>
        <v>844060</v>
      </c>
      <c r="H184" s="125">
        <f>SUM(H176:H182)</f>
        <v>1247015</v>
      </c>
      <c r="I184" s="80">
        <f>SUM(I176:I182)</f>
        <v>1621213</v>
      </c>
      <c r="J184" s="80">
        <f>SUM(J176:J182)</f>
        <v>2511594</v>
      </c>
    </row>
    <row r="186" spans="2:10" ht="15">
      <c r="B186" s="79" t="s">
        <v>199</v>
      </c>
    </row>
    <row r="187" spans="2:10" ht="15">
      <c r="B187" s="79" t="s">
        <v>200</v>
      </c>
    </row>
    <row r="189" spans="2:10" ht="15">
      <c r="B189" s="79" t="s">
        <v>201</v>
      </c>
      <c r="G189" s="124">
        <v>243411</v>
      </c>
      <c r="H189" s="124">
        <v>383128</v>
      </c>
      <c r="I189" s="75">
        <v>64398</v>
      </c>
      <c r="J189" s="75">
        <v>298664</v>
      </c>
    </row>
    <row r="190" spans="2:10" ht="15">
      <c r="B190" s="79" t="s">
        <v>202</v>
      </c>
      <c r="G190" s="124">
        <v>20644</v>
      </c>
      <c r="H190" s="124">
        <v>35600</v>
      </c>
      <c r="I190" s="75">
        <v>37638</v>
      </c>
      <c r="J190" s="75">
        <v>88451</v>
      </c>
    </row>
    <row r="191" spans="2:10" ht="15">
      <c r="B191" s="79" t="s">
        <v>143</v>
      </c>
      <c r="G191" s="124">
        <v>31668</v>
      </c>
      <c r="H191" s="124">
        <v>12339</v>
      </c>
      <c r="I191" s="75">
        <v>33058</v>
      </c>
      <c r="J191" s="75">
        <v>51513</v>
      </c>
    </row>
    <row r="192" spans="2:10" ht="15">
      <c r="B192" s="79" t="s">
        <v>203</v>
      </c>
      <c r="G192" s="124">
        <v>477601</v>
      </c>
      <c r="H192" s="124">
        <v>554832</v>
      </c>
      <c r="I192" s="75">
        <v>1402343</v>
      </c>
      <c r="J192" s="75">
        <v>2803982</v>
      </c>
    </row>
    <row r="193" spans="2:10" ht="15">
      <c r="B193" s="79" t="s">
        <v>118</v>
      </c>
      <c r="G193" s="124">
        <v>12251</v>
      </c>
      <c r="H193" s="124">
        <v>5703</v>
      </c>
      <c r="I193" s="75">
        <v>15968</v>
      </c>
      <c r="J193" s="75">
        <v>16226</v>
      </c>
    </row>
    <row r="194" spans="2:10" ht="15">
      <c r="B194" s="79" t="s">
        <v>204</v>
      </c>
      <c r="G194" s="124">
        <v>0</v>
      </c>
      <c r="H194" s="124">
        <v>0</v>
      </c>
      <c r="I194" s="75">
        <v>0</v>
      </c>
      <c r="J194" s="75">
        <v>13964</v>
      </c>
    </row>
    <row r="195" spans="2:10" ht="15">
      <c r="B195" s="79" t="s">
        <v>139</v>
      </c>
      <c r="G195" s="124">
        <v>0</v>
      </c>
      <c r="H195" s="124">
        <v>0</v>
      </c>
      <c r="I195" s="75">
        <v>0</v>
      </c>
      <c r="J195" s="75">
        <v>292236</v>
      </c>
    </row>
    <row r="197" spans="2:10" ht="15">
      <c r="B197" s="79" t="s">
        <v>205</v>
      </c>
      <c r="G197" s="125">
        <f>SUM(G189:G195)</f>
        <v>785575</v>
      </c>
      <c r="H197" s="125">
        <f>SUM(H189:H195)</f>
        <v>991602</v>
      </c>
      <c r="I197" s="80">
        <f>SUM(I189:I195)</f>
        <v>1553405</v>
      </c>
      <c r="J197" s="80">
        <f>SUM(J189:J195)</f>
        <v>3565036</v>
      </c>
    </row>
    <row r="199" spans="2:10" ht="15">
      <c r="B199" s="79" t="s">
        <v>206</v>
      </c>
    </row>
    <row r="201" spans="2:10">
      <c r="B201" s="78" t="s">
        <v>143</v>
      </c>
      <c r="G201" s="124">
        <v>2848</v>
      </c>
      <c r="H201" s="124">
        <v>4133</v>
      </c>
      <c r="I201" s="75">
        <v>3910</v>
      </c>
      <c r="J201" s="75">
        <v>10800</v>
      </c>
    </row>
    <row r="202" spans="2:10">
      <c r="B202" s="78" t="s">
        <v>202</v>
      </c>
      <c r="G202" s="124">
        <v>8550</v>
      </c>
      <c r="H202" s="124">
        <v>34868</v>
      </c>
      <c r="I202" s="75">
        <v>58022</v>
      </c>
      <c r="J202" s="75">
        <v>55452</v>
      </c>
    </row>
    <row r="203" spans="2:10">
      <c r="B203" s="78" t="s">
        <v>203</v>
      </c>
      <c r="G203" s="124">
        <v>71731</v>
      </c>
      <c r="H203" s="124">
        <v>61223</v>
      </c>
      <c r="I203" s="75">
        <v>46224</v>
      </c>
      <c r="J203" s="75">
        <v>350095</v>
      </c>
    </row>
    <row r="204" spans="2:10">
      <c r="B204" s="78" t="s">
        <v>141</v>
      </c>
      <c r="G204" s="124">
        <v>25120</v>
      </c>
      <c r="H204" s="124">
        <v>17555</v>
      </c>
      <c r="I204" s="75">
        <v>32656</v>
      </c>
      <c r="J204" s="75">
        <v>35891</v>
      </c>
    </row>
    <row r="205" spans="2:10">
      <c r="B205" s="78" t="s">
        <v>204</v>
      </c>
      <c r="G205" s="124">
        <v>58770</v>
      </c>
      <c r="H205" s="124">
        <v>3</v>
      </c>
      <c r="I205" s="75">
        <v>382041</v>
      </c>
      <c r="J205" s="75">
        <v>120910</v>
      </c>
    </row>
    <row r="206" spans="2:10">
      <c r="B206" s="78" t="s">
        <v>142</v>
      </c>
      <c r="G206" s="124">
        <v>20312</v>
      </c>
      <c r="H206" s="124">
        <v>36549</v>
      </c>
      <c r="I206" s="75">
        <v>47715</v>
      </c>
      <c r="J206" s="75">
        <v>43945</v>
      </c>
    </row>
    <row r="207" spans="2:10">
      <c r="B207" s="78" t="s">
        <v>139</v>
      </c>
      <c r="G207" s="124">
        <v>221013</v>
      </c>
      <c r="H207" s="124">
        <v>205055</v>
      </c>
      <c r="I207" s="75">
        <v>487186</v>
      </c>
      <c r="J207" s="75">
        <v>419130</v>
      </c>
    </row>
    <row r="209" spans="2:10" ht="15">
      <c r="B209" s="79" t="s">
        <v>207</v>
      </c>
      <c r="G209" s="125">
        <f>SUM(G201:G207)</f>
        <v>408344</v>
      </c>
      <c r="H209" s="125">
        <f>SUM(H201:H207)</f>
        <v>359386</v>
      </c>
      <c r="I209" s="80">
        <f>SUM(I201:I207)</f>
        <v>1057754</v>
      </c>
      <c r="J209" s="80">
        <f>SUM(J201:J207)</f>
        <v>1036223</v>
      </c>
    </row>
    <row r="210" spans="2:10" ht="15">
      <c r="B210" s="79" t="s">
        <v>208</v>
      </c>
      <c r="G210" s="125">
        <f>G197+G209</f>
        <v>1193919</v>
      </c>
      <c r="H210" s="125">
        <f>H197+H209</f>
        <v>1350988</v>
      </c>
      <c r="I210" s="80">
        <f>I197+I209</f>
        <v>2611159</v>
      </c>
      <c r="J210" s="80">
        <f>J197+J209</f>
        <v>4601259</v>
      </c>
    </row>
    <row r="211" spans="2:10" ht="15">
      <c r="B211" s="79" t="s">
        <v>209</v>
      </c>
      <c r="G211" s="125">
        <f>G184+G210</f>
        <v>2037979</v>
      </c>
      <c r="H211" s="125">
        <f>H184+H210</f>
        <v>2598003</v>
      </c>
      <c r="I211" s="80">
        <f>I184+I210</f>
        <v>4232372</v>
      </c>
      <c r="J211" s="80">
        <f>J184+J210</f>
        <v>7112853</v>
      </c>
    </row>
    <row r="213" spans="2:10" ht="15">
      <c r="B213" s="81" t="s">
        <v>0</v>
      </c>
      <c r="C213" s="6"/>
      <c r="D213" s="6"/>
      <c r="E213" s="6"/>
      <c r="F213" s="6"/>
      <c r="G213" s="6"/>
      <c r="H213" s="6"/>
      <c r="I213" s="6"/>
      <c r="J213" s="6"/>
    </row>
    <row r="215" spans="2:10" ht="15">
      <c r="B215" s="82" t="s">
        <v>241</v>
      </c>
      <c r="G215" s="90" t="s">
        <v>57</v>
      </c>
      <c r="H215" s="90" t="s">
        <v>58</v>
      </c>
      <c r="I215" s="90" t="s">
        <v>59</v>
      </c>
      <c r="J215" s="90" t="s">
        <v>60</v>
      </c>
    </row>
    <row r="217" spans="2:10">
      <c r="B217" s="78" t="s">
        <v>242</v>
      </c>
      <c r="G217" s="124">
        <v>48560</v>
      </c>
      <c r="H217" s="75">
        <v>51149</v>
      </c>
      <c r="I217" s="75">
        <v>69660</v>
      </c>
      <c r="J217" s="75">
        <v>115479</v>
      </c>
    </row>
    <row r="218" spans="2:10">
      <c r="B218" s="78" t="s">
        <v>243</v>
      </c>
      <c r="G218" s="91">
        <v>99</v>
      </c>
      <c r="H218" s="91">
        <v>82.3</v>
      </c>
      <c r="I218" s="91">
        <v>79.8</v>
      </c>
      <c r="J218" s="91">
        <v>68.2</v>
      </c>
    </row>
    <row r="219" spans="2:10">
      <c r="B219" s="78" t="s">
        <v>244</v>
      </c>
      <c r="G219" s="91">
        <v>72.2</v>
      </c>
      <c r="H219" s="91">
        <v>66.7</v>
      </c>
      <c r="I219" s="91">
        <v>69.2</v>
      </c>
      <c r="J219" s="91">
        <v>62.9</v>
      </c>
    </row>
    <row r="220" spans="2:10">
      <c r="B220" s="78" t="s">
        <v>245</v>
      </c>
      <c r="G220" s="127">
        <v>7.5</v>
      </c>
      <c r="H220" s="91">
        <v>5.0999999999999996</v>
      </c>
      <c r="I220" s="91">
        <v>4.5999999999999996</v>
      </c>
      <c r="J220" s="91">
        <v>4.4000000000000004</v>
      </c>
    </row>
    <row r="221" spans="2:10">
      <c r="B221" s="78" t="s">
        <v>246</v>
      </c>
      <c r="G221" s="127">
        <v>8.1999999999999993</v>
      </c>
      <c r="H221" s="91">
        <v>6.9</v>
      </c>
      <c r="I221" s="91">
        <v>7.2</v>
      </c>
      <c r="J221" s="91">
        <v>6.4</v>
      </c>
    </row>
    <row r="222" spans="2:10">
      <c r="B222" s="78" t="s">
        <v>247</v>
      </c>
      <c r="G222" s="127">
        <v>13.3</v>
      </c>
      <c r="H222" s="91">
        <v>14.8</v>
      </c>
      <c r="I222" s="91">
        <v>17.2</v>
      </c>
      <c r="J222" s="91">
        <v>17.5</v>
      </c>
    </row>
    <row r="224" spans="2:10" ht="15">
      <c r="B224" s="115" t="s">
        <v>337</v>
      </c>
    </row>
    <row r="225" spans="2:10">
      <c r="B225" s="172" t="s">
        <v>338</v>
      </c>
    </row>
    <row r="227" spans="2:10">
      <c r="B227" s="114" t="s">
        <v>339</v>
      </c>
      <c r="H227" s="188">
        <v>15.8</v>
      </c>
      <c r="I227" s="188">
        <v>22.1</v>
      </c>
      <c r="J227" s="188">
        <v>36.5</v>
      </c>
    </row>
    <row r="228" spans="2:10">
      <c r="B228" s="114" t="s">
        <v>340</v>
      </c>
      <c r="H228" s="188">
        <v>15.2</v>
      </c>
      <c r="I228" s="188">
        <v>18.399999999999999</v>
      </c>
      <c r="J228" s="188">
        <v>30.4</v>
      </c>
    </row>
    <row r="229" spans="2:10">
      <c r="B229" s="114" t="s">
        <v>341</v>
      </c>
      <c r="G229" s="189">
        <v>365</v>
      </c>
      <c r="H229" s="189">
        <v>365</v>
      </c>
      <c r="I229" s="189">
        <v>366</v>
      </c>
      <c r="J229" s="189">
        <v>365</v>
      </c>
    </row>
    <row r="230" spans="2:10">
      <c r="B230" s="114" t="s">
        <v>342</v>
      </c>
      <c r="I230" s="189">
        <v>50</v>
      </c>
      <c r="J230" s="189">
        <v>74</v>
      </c>
    </row>
    <row r="232" spans="2:10" ht="15">
      <c r="B232" s="175" t="s">
        <v>343</v>
      </c>
      <c r="H232">
        <f>H227*1000000/H229</f>
        <v>43287.67123287671</v>
      </c>
      <c r="I232">
        <f>I227*1000000/I229</f>
        <v>60382.513661202189</v>
      </c>
      <c r="J232">
        <f>J227*1000000/J229</f>
        <v>100000</v>
      </c>
    </row>
    <row r="233" spans="2:10" ht="15">
      <c r="B233" s="175" t="s">
        <v>344</v>
      </c>
      <c r="H233" s="93">
        <f>H217-H232</f>
        <v>7861.3287671232902</v>
      </c>
      <c r="I233" s="93">
        <f>I217-I232</f>
        <v>9277.4863387978112</v>
      </c>
      <c r="J233" s="93">
        <f>J217-J232</f>
        <v>15479</v>
      </c>
    </row>
    <row r="234" spans="2:10">
      <c r="B234" s="114" t="s">
        <v>345</v>
      </c>
      <c r="H234">
        <f>H232/H217</f>
        <v>0.84630532821515003</v>
      </c>
      <c r="I234">
        <f>I232/I217</f>
        <v>0.86681759490672106</v>
      </c>
      <c r="J234">
        <f>J232/J217</f>
        <v>0.86595831276682345</v>
      </c>
    </row>
    <row r="235" spans="2:10">
      <c r="B235" s="172" t="s">
        <v>346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1D4C-51D0-4140-811D-87DF94F32298}">
  <dimension ref="A1:M48"/>
  <sheetViews>
    <sheetView topLeftCell="B1" zoomScale="71" zoomScaleNormal="71" workbookViewId="0">
      <selection activeCell="C5" sqref="C5"/>
    </sheetView>
  </sheetViews>
  <sheetFormatPr baseColWidth="10" defaultColWidth="11.5" defaultRowHeight="14.25" outlineLevelRow="3" outlineLevelCol="3"/>
  <cols>
    <col min="1" max="1" width="11.5" customWidth="1"/>
    <col min="2" max="2" width="26.5" bestFit="1" customWidth="1" collapsed="1"/>
    <col min="3" max="6" width="10.875"/>
    <col min="7" max="11" width="14.25" customWidth="1"/>
    <col min="12" max="12" width="11.5" customWidth="1"/>
    <col min="13" max="13" width="11.5" collapsed="1"/>
    <col min="14" max="16384" width="11.5" outlineLevel="3"/>
  </cols>
  <sheetData>
    <row r="1" spans="2:11" ht="14.45" customHeight="1"/>
    <row r="2" spans="2:11" ht="14.45" customHeight="1"/>
    <row r="3" spans="2:11" ht="14.45" customHeight="1">
      <c r="B3" s="67" t="s">
        <v>67</v>
      </c>
      <c r="C3" s="6"/>
      <c r="D3" s="6"/>
      <c r="E3" s="6"/>
      <c r="F3" s="6"/>
      <c r="G3" s="6"/>
      <c r="H3" s="6"/>
      <c r="I3" s="6"/>
      <c r="J3" s="6"/>
      <c r="K3" s="6"/>
    </row>
    <row r="4" spans="2:11" ht="14.45" customHeight="1"/>
    <row r="5" spans="2:11" ht="15.75">
      <c r="B5" s="17" t="s">
        <v>68</v>
      </c>
      <c r="C5" s="18" t="s">
        <v>71</v>
      </c>
      <c r="G5" s="12" t="s">
        <v>61</v>
      </c>
      <c r="H5" s="12" t="s">
        <v>62</v>
      </c>
      <c r="I5" s="12" t="s">
        <v>63</v>
      </c>
      <c r="J5" s="12" t="s">
        <v>64</v>
      </c>
      <c r="K5" s="12" t="s">
        <v>65</v>
      </c>
    </row>
    <row r="7" spans="2:11" ht="15" thickBot="1"/>
    <row r="8" spans="2:11" ht="16.5" thickBot="1">
      <c r="B8" s="9" t="s">
        <v>69</v>
      </c>
      <c r="G8" s="19">
        <f>INDEX(G10:G12,MATCH($C$5,$B$10:$B$12,0))</f>
        <v>85</v>
      </c>
      <c r="H8" s="20">
        <f>INDEX(H10:H12,MATCH($C$5,$B$10:$B$12,0))</f>
        <v>82</v>
      </c>
      <c r="I8" s="20">
        <f>INDEX(I10:I12,MATCH($C$5,$B$10:$B$12,0))</f>
        <v>80</v>
      </c>
      <c r="J8" s="20">
        <f>INDEX(J10:J12,MATCH($C$5,$B$10:$B$12,0))</f>
        <v>78</v>
      </c>
      <c r="K8" s="21">
        <f>INDEX(K10:K12,MATCH($C$5,$B$10:$B$12,0))</f>
        <v>75</v>
      </c>
    </row>
    <row r="9" spans="2:11" ht="15.75">
      <c r="B9" s="9"/>
      <c r="G9" s="13"/>
      <c r="H9" s="13"/>
      <c r="I9" s="13"/>
      <c r="J9" s="13"/>
      <c r="K9" s="13"/>
    </row>
    <row r="10" spans="2:11" ht="15.75">
      <c r="B10" s="11" t="s">
        <v>70</v>
      </c>
      <c r="G10" s="58">
        <v>95</v>
      </c>
      <c r="H10" s="59">
        <v>92</v>
      </c>
      <c r="I10" s="59">
        <v>90</v>
      </c>
      <c r="J10" s="59">
        <v>88</v>
      </c>
      <c r="K10" s="60">
        <v>85</v>
      </c>
    </row>
    <row r="11" spans="2:11" ht="15.75">
      <c r="B11" s="11" t="s">
        <v>71</v>
      </c>
      <c r="G11" s="61">
        <v>85</v>
      </c>
      <c r="H11" s="62">
        <v>82</v>
      </c>
      <c r="I11" s="62">
        <v>80</v>
      </c>
      <c r="J11" s="62">
        <v>78</v>
      </c>
      <c r="K11" s="63">
        <v>75</v>
      </c>
    </row>
    <row r="12" spans="2:11" ht="15.75">
      <c r="B12" s="11" t="s">
        <v>72</v>
      </c>
      <c r="G12" s="64">
        <v>61.5</v>
      </c>
      <c r="H12" s="65">
        <v>64</v>
      </c>
      <c r="I12" s="65">
        <v>65.3</v>
      </c>
      <c r="J12" s="65">
        <v>63.4</v>
      </c>
      <c r="K12" s="66">
        <v>63.4</v>
      </c>
    </row>
    <row r="13" spans="2:11" ht="15" thickBot="1"/>
    <row r="14" spans="2:11" ht="16.5" thickBot="1">
      <c r="B14" s="9" t="s">
        <v>73</v>
      </c>
      <c r="G14" s="22">
        <f>INDEX(G16:G18,MATCH($C$5,$B$10:$B$12,0))</f>
        <v>0.15</v>
      </c>
      <c r="H14" s="23">
        <f>INDEX(H16:H18,MATCH($C$5,$B$10:$B$12,0))</f>
        <v>0.12</v>
      </c>
      <c r="I14" s="23">
        <f>INDEX(I16:I18,MATCH($C$5,$B$10:$B$12,0))</f>
        <v>0.1</v>
      </c>
      <c r="J14" s="23">
        <f>INDEX(J16:J18,MATCH($C$5,$B$10:$B$12,0))</f>
        <v>0.08</v>
      </c>
      <c r="K14" s="24">
        <f>INDEX(K16:K18,MATCH($C$5,$B$10:$B$12,0))</f>
        <v>0.06</v>
      </c>
    </row>
    <row r="15" spans="2:11" ht="15.75">
      <c r="B15" s="9"/>
      <c r="G15" s="14"/>
      <c r="H15" s="14"/>
      <c r="I15" s="14"/>
      <c r="J15" s="14"/>
      <c r="K15" s="14"/>
    </row>
    <row r="16" spans="2:11" ht="15.75">
      <c r="B16" s="11" t="str">
        <f>$B$10</f>
        <v>Best Case</v>
      </c>
      <c r="G16" s="49">
        <v>0.25</v>
      </c>
      <c r="H16" s="50">
        <v>0.2</v>
      </c>
      <c r="I16" s="50">
        <v>0.15</v>
      </c>
      <c r="J16" s="50">
        <v>0.12</v>
      </c>
      <c r="K16" s="51">
        <v>0.1</v>
      </c>
    </row>
    <row r="17" spans="2:11" ht="15.75">
      <c r="B17" s="11" t="str">
        <f>$B$11</f>
        <v>Base Case</v>
      </c>
      <c r="G17" s="52">
        <v>0.15</v>
      </c>
      <c r="H17" s="53">
        <v>0.12</v>
      </c>
      <c r="I17" s="53">
        <v>0.1</v>
      </c>
      <c r="J17" s="53">
        <v>0.08</v>
      </c>
      <c r="K17" s="54">
        <v>0.06</v>
      </c>
    </row>
    <row r="18" spans="2:11" ht="15.75">
      <c r="B18" s="11" t="str">
        <f>$B$12</f>
        <v>Worst Case</v>
      </c>
      <c r="G18" s="55">
        <v>0.05</v>
      </c>
      <c r="H18" s="56">
        <v>0.05</v>
      </c>
      <c r="I18" s="56">
        <v>0.04</v>
      </c>
      <c r="J18" s="56">
        <v>0.04</v>
      </c>
      <c r="K18" s="57">
        <v>0.03</v>
      </c>
    </row>
    <row r="19" spans="2:11" ht="15" thickBot="1"/>
    <row r="20" spans="2:11" ht="16.5" thickBot="1">
      <c r="B20" s="9" t="s">
        <v>74</v>
      </c>
      <c r="G20" s="25">
        <f>INDEX(G22:G24,MATCH($C$5,$B$10:$B$12,0))</f>
        <v>4.3</v>
      </c>
      <c r="H20" s="26">
        <f>INDEX(H22:H24,MATCH($C$5,$B$10:$B$12,0))</f>
        <v>4.0999999999999996</v>
      </c>
      <c r="I20" s="26">
        <f>INDEX(I22:I24,MATCH($C$5,$B$10:$B$12,0))</f>
        <v>3.9</v>
      </c>
      <c r="J20" s="26">
        <f>INDEX(J22:J24,MATCH($C$5,$B$10:$B$12,0))</f>
        <v>3.7</v>
      </c>
      <c r="K20" s="27">
        <f>INDEX(K22:K24,MATCH($C$5,$B$10:$B$12,0))</f>
        <v>3.5</v>
      </c>
    </row>
    <row r="21" spans="2:11" ht="15.75">
      <c r="B21" s="9"/>
      <c r="G21" s="15"/>
      <c r="H21" s="15"/>
      <c r="I21" s="15"/>
      <c r="J21" s="15"/>
      <c r="K21" s="15"/>
    </row>
    <row r="22" spans="2:11" ht="15.75">
      <c r="B22" s="11" t="str">
        <f>$B$10</f>
        <v>Best Case</v>
      </c>
      <c r="G22" s="40">
        <v>3.8</v>
      </c>
      <c r="H22" s="41">
        <v>3.6</v>
      </c>
      <c r="I22" s="41">
        <v>3.4</v>
      </c>
      <c r="J22" s="41">
        <v>3.2</v>
      </c>
      <c r="K22" s="42">
        <v>3</v>
      </c>
    </row>
    <row r="23" spans="2:11" ht="15.75">
      <c r="B23" s="11" t="str">
        <f>$B$11</f>
        <v>Base Case</v>
      </c>
      <c r="G23" s="43">
        <v>4.3</v>
      </c>
      <c r="H23" s="44">
        <v>4.0999999999999996</v>
      </c>
      <c r="I23" s="44">
        <v>3.9</v>
      </c>
      <c r="J23" s="44">
        <v>3.7</v>
      </c>
      <c r="K23" s="45">
        <v>3.5</v>
      </c>
    </row>
    <row r="24" spans="2:11" ht="15.75">
      <c r="B24" s="11" t="str">
        <f>$B$12</f>
        <v>Worst Case</v>
      </c>
      <c r="G24" s="46">
        <v>5</v>
      </c>
      <c r="H24" s="47">
        <v>4.8</v>
      </c>
      <c r="I24" s="47">
        <v>4.5999999999999996</v>
      </c>
      <c r="J24" s="47">
        <v>4.4000000000000004</v>
      </c>
      <c r="K24" s="48">
        <v>4.2</v>
      </c>
    </row>
    <row r="25" spans="2:11" ht="15" thickBot="1"/>
    <row r="26" spans="2:11" ht="16.5" thickBot="1">
      <c r="B26" s="9" t="s">
        <v>75</v>
      </c>
      <c r="G26" s="28">
        <f>INDEX(G28:G30,MATCH($C$5,$B$10:$B$12,0))</f>
        <v>1550</v>
      </c>
      <c r="H26" s="29">
        <f>INDEX(H28:H30,MATCH($C$5,$B$10:$B$12,0))</f>
        <v>1500</v>
      </c>
      <c r="I26" s="29">
        <f>INDEX(I28:I30,MATCH($C$5,$B$10:$B$12,0))</f>
        <v>1400</v>
      </c>
      <c r="J26" s="29">
        <f>INDEX(J28:J30,MATCH($C$5,$B$10:$B$12,0))</f>
        <v>1300</v>
      </c>
      <c r="K26" s="30">
        <f>INDEX(K28:K30,MATCH($C$5,$B$10:$B$12,0))</f>
        <v>1200</v>
      </c>
    </row>
    <row r="27" spans="2:11" ht="15.75">
      <c r="B27" s="9"/>
      <c r="G27" s="16"/>
      <c r="H27" s="16"/>
      <c r="I27" s="16"/>
      <c r="J27" s="16"/>
      <c r="K27" s="16"/>
    </row>
    <row r="28" spans="2:11" ht="15.75">
      <c r="B28" s="11" t="str">
        <f>$B$10</f>
        <v>Best Case</v>
      </c>
      <c r="G28" s="32">
        <v>1400</v>
      </c>
      <c r="H28" s="33">
        <v>1300</v>
      </c>
      <c r="I28" s="33">
        <v>1200</v>
      </c>
      <c r="J28" s="33">
        <v>1100</v>
      </c>
      <c r="K28" s="34">
        <v>1000</v>
      </c>
    </row>
    <row r="29" spans="2:11" ht="15.75">
      <c r="B29" s="11" t="str">
        <f>$B$11</f>
        <v>Base Case</v>
      </c>
      <c r="G29" s="35">
        <v>1550</v>
      </c>
      <c r="H29" s="31">
        <v>1500</v>
      </c>
      <c r="I29" s="31">
        <v>1400</v>
      </c>
      <c r="J29" s="31">
        <v>1300</v>
      </c>
      <c r="K29" s="36">
        <v>1200</v>
      </c>
    </row>
    <row r="30" spans="2:11" ht="15.75">
      <c r="B30" s="11" t="str">
        <f>$B$12</f>
        <v>Worst Case</v>
      </c>
      <c r="G30" s="37">
        <v>1700</v>
      </c>
      <c r="H30" s="38">
        <v>1650</v>
      </c>
      <c r="I30" s="38">
        <v>1600</v>
      </c>
      <c r="J30" s="38">
        <v>1500</v>
      </c>
      <c r="K30" s="39">
        <v>1400</v>
      </c>
    </row>
    <row r="33" spans="2:11" ht="15">
      <c r="B33" s="115" t="s">
        <v>304</v>
      </c>
      <c r="C33" s="183"/>
      <c r="D33" s="183"/>
      <c r="E33" s="183"/>
      <c r="F33" s="183"/>
      <c r="G33" s="183"/>
      <c r="H33" s="183"/>
      <c r="I33" s="183"/>
      <c r="J33" s="183"/>
      <c r="K33" s="183"/>
    </row>
    <row r="34" spans="2:11">
      <c r="B34" s="173" t="s">
        <v>305</v>
      </c>
      <c r="G34" s="174" t="s">
        <v>61</v>
      </c>
      <c r="H34" s="174" t="s">
        <v>62</v>
      </c>
      <c r="I34" s="174" t="s">
        <v>63</v>
      </c>
      <c r="J34" s="174" t="s">
        <v>64</v>
      </c>
      <c r="K34" s="174" t="s">
        <v>65</v>
      </c>
    </row>
    <row r="36" spans="2:11" ht="15">
      <c r="B36" s="175" t="s">
        <v>306</v>
      </c>
      <c r="G36" s="176">
        <v>7.4999999999999997E-2</v>
      </c>
      <c r="H36" s="176">
        <v>7.4999999999999997E-2</v>
      </c>
      <c r="I36" s="176">
        <v>7.4999999999999997E-2</v>
      </c>
      <c r="J36" s="176">
        <v>7.4999999999999997E-2</v>
      </c>
      <c r="K36" s="176">
        <v>7.4999999999999997E-2</v>
      </c>
    </row>
    <row r="37" spans="2:11" ht="15">
      <c r="B37" s="175" t="s">
        <v>307</v>
      </c>
      <c r="G37" s="176">
        <v>0.03</v>
      </c>
      <c r="H37" s="176">
        <v>0.03</v>
      </c>
      <c r="I37" s="176">
        <v>0.03</v>
      </c>
      <c r="J37" s="176">
        <v>0.03</v>
      </c>
      <c r="K37" s="176">
        <v>0.03</v>
      </c>
    </row>
    <row r="38" spans="2:11" ht="15">
      <c r="B38" s="175" t="s">
        <v>308</v>
      </c>
      <c r="G38" s="177">
        <v>0.3</v>
      </c>
      <c r="H38" s="177">
        <v>0.3</v>
      </c>
      <c r="I38" s="177">
        <v>0.3</v>
      </c>
      <c r="J38" s="177">
        <v>0.3</v>
      </c>
      <c r="K38" s="177">
        <v>0.3</v>
      </c>
    </row>
    <row r="39" spans="2:11" ht="15">
      <c r="B39" s="175" t="s">
        <v>309</v>
      </c>
      <c r="G39" s="178">
        <v>350</v>
      </c>
      <c r="H39" s="178">
        <v>350</v>
      </c>
      <c r="I39" s="178">
        <v>350</v>
      </c>
      <c r="J39" s="178">
        <v>350</v>
      </c>
      <c r="K39" s="178">
        <v>350</v>
      </c>
    </row>
    <row r="40" spans="2:11" ht="15">
      <c r="B40" s="175" t="s">
        <v>310</v>
      </c>
      <c r="G40" s="178">
        <v>0</v>
      </c>
      <c r="H40" s="178">
        <v>0</v>
      </c>
      <c r="I40" s="178">
        <v>0</v>
      </c>
      <c r="J40" s="178">
        <v>0</v>
      </c>
      <c r="K40" s="178">
        <v>0</v>
      </c>
    </row>
    <row r="41" spans="2:11" ht="15">
      <c r="B41" s="175" t="s">
        <v>327</v>
      </c>
      <c r="G41" s="178">
        <v>200</v>
      </c>
      <c r="H41" s="178">
        <v>200</v>
      </c>
      <c r="I41" s="178">
        <v>200</v>
      </c>
      <c r="J41" s="178">
        <v>200</v>
      </c>
      <c r="K41" s="178">
        <v>200</v>
      </c>
    </row>
    <row r="42" spans="2:11" ht="15">
      <c r="B42" s="175" t="s">
        <v>333</v>
      </c>
      <c r="G42" s="181">
        <v>17.5</v>
      </c>
      <c r="H42" s="181">
        <v>17.5</v>
      </c>
      <c r="I42" s="181">
        <v>17.5</v>
      </c>
      <c r="J42" s="181">
        <v>17.5</v>
      </c>
      <c r="K42" s="181">
        <v>17.5</v>
      </c>
    </row>
    <row r="43" spans="2:11">
      <c r="B43" s="180" t="s">
        <v>311</v>
      </c>
      <c r="C43" s="114"/>
      <c r="D43" s="114"/>
      <c r="E43" s="114"/>
      <c r="F43" s="114"/>
      <c r="G43" s="114"/>
      <c r="H43" s="114"/>
      <c r="I43" s="114"/>
      <c r="J43" s="114"/>
      <c r="K43" s="114"/>
    </row>
    <row r="44" spans="2:11">
      <c r="B44" s="172" t="s">
        <v>312</v>
      </c>
      <c r="C44" s="114"/>
      <c r="D44" s="114"/>
      <c r="E44" s="114"/>
      <c r="F44" s="114"/>
      <c r="G44" s="114"/>
      <c r="H44" s="114"/>
      <c r="I44" s="114"/>
      <c r="J44" s="114"/>
      <c r="K44" s="114"/>
    </row>
    <row r="45" spans="2:11">
      <c r="B45" s="172" t="s">
        <v>313</v>
      </c>
      <c r="C45" s="114"/>
      <c r="D45" s="114"/>
      <c r="E45" s="114"/>
      <c r="F45" s="114"/>
      <c r="G45" s="114"/>
      <c r="H45" s="114"/>
      <c r="I45" s="114"/>
      <c r="J45" s="114"/>
      <c r="K45" s="114"/>
    </row>
    <row r="46" spans="2:11">
      <c r="B46" s="172" t="s">
        <v>314</v>
      </c>
      <c r="C46" s="114"/>
      <c r="D46" s="114"/>
      <c r="E46" s="114"/>
      <c r="F46" s="114"/>
      <c r="G46" s="114"/>
      <c r="H46" s="114"/>
      <c r="I46" s="114"/>
      <c r="J46" s="114"/>
      <c r="K46" s="114"/>
    </row>
    <row r="47" spans="2:11">
      <c r="B47" s="172" t="s">
        <v>335</v>
      </c>
      <c r="C47" s="114"/>
      <c r="D47" s="114"/>
      <c r="E47" s="114"/>
      <c r="F47" s="114"/>
      <c r="G47" s="114"/>
      <c r="H47" s="114"/>
      <c r="I47" s="114"/>
      <c r="J47" s="114"/>
      <c r="K47" s="114"/>
    </row>
    <row r="48" spans="2:11">
      <c r="B48" s="172" t="s">
        <v>334</v>
      </c>
    </row>
  </sheetData>
  <dataValidations count="1">
    <dataValidation type="list" allowBlank="1" showInputMessage="1" showErrorMessage="1" sqref="C5" xr:uid="{EA6CED2D-CDF0-4062-B0FC-8768E17C30C3}">
      <formula1>"Best Case,Base Case,Worst Case"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7F5B-DD15-4A07-93B2-FA8AA70C0576}">
  <dimension ref="B3:O180"/>
  <sheetViews>
    <sheetView topLeftCell="A143" zoomScale="95" zoomScaleNormal="95" workbookViewId="0">
      <selection activeCell="D65" sqref="D65"/>
    </sheetView>
  </sheetViews>
  <sheetFormatPr baseColWidth="10" defaultRowHeight="14.25" outlineLevelRow="2"/>
  <cols>
    <col min="13" max="15" width="12.75" bestFit="1" customWidth="1"/>
  </cols>
  <sheetData>
    <row r="3" spans="2:15" ht="15">
      <c r="B3" s="81" t="s">
        <v>13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5" spans="2:15" ht="15">
      <c r="B5" s="82" t="s">
        <v>76</v>
      </c>
      <c r="G5" s="79" t="s">
        <v>57</v>
      </c>
      <c r="H5" s="79" t="s">
        <v>58</v>
      </c>
      <c r="I5" s="79" t="s">
        <v>59</v>
      </c>
      <c r="J5" s="79" t="s">
        <v>60</v>
      </c>
      <c r="K5" s="79" t="s">
        <v>61</v>
      </c>
      <c r="L5" s="79" t="s">
        <v>62</v>
      </c>
      <c r="M5" s="79" t="s">
        <v>63</v>
      </c>
      <c r="N5" s="79" t="s">
        <v>64</v>
      </c>
      <c r="O5" s="79" t="s">
        <v>65</v>
      </c>
    </row>
    <row r="7" spans="2:15" ht="15">
      <c r="B7" s="79" t="s">
        <v>77</v>
      </c>
      <c r="G7" s="83">
        <f>'Imput Historical'!G7</f>
        <v>1187660</v>
      </c>
      <c r="H7" s="83">
        <f>'Imput Historical'!H7</f>
        <v>1168774</v>
      </c>
      <c r="I7" s="83">
        <f>'Imput Historical'!I7</f>
        <v>1647768</v>
      </c>
      <c r="J7" s="83">
        <f>'Imput Historical'!J7</f>
        <v>2474197</v>
      </c>
      <c r="K7" s="74">
        <f>J7*(1+'Imputs Drivers'!G14)*(K156/J156)</f>
        <v>3546228.1048387093</v>
      </c>
      <c r="L7" s="74">
        <f>K7*(1+'Imputs Drivers'!H14)*(L156/K156)</f>
        <v>3831595.166451613</v>
      </c>
      <c r="M7" s="74">
        <f>L7*(1+'Imputs Drivers'!I14)*(M156/L156)</f>
        <v>4111955.7883870974</v>
      </c>
      <c r="N7" s="74">
        <f>M7*(1+'Imputs Drivers'!J14)*(N156/M156)</f>
        <v>4329889.4451716142</v>
      </c>
      <c r="O7" s="74">
        <f>N7*(1+'Imputs Drivers'!K14)*(O156/N156)</f>
        <v>4413156.549886453</v>
      </c>
    </row>
    <row r="9" spans="2:15" ht="15">
      <c r="B9" s="79" t="s">
        <v>15</v>
      </c>
    </row>
    <row r="11" spans="2:15" hidden="1" outlineLevel="2">
      <c r="B11" s="78" t="s">
        <v>78</v>
      </c>
      <c r="G11" s="83">
        <f>'Imput Historical'!G11</f>
        <v>-133385</v>
      </c>
      <c r="H11" s="83">
        <f>'Imput Historical'!H11</f>
        <v>-94685</v>
      </c>
      <c r="I11" s="83">
        <f>'Imput Historical'!I11</f>
        <v>-116526</v>
      </c>
      <c r="J11" s="83">
        <f>'Imput Historical'!J11</f>
        <v>-186945</v>
      </c>
      <c r="K11" s="74">
        <f>J11*(1+'Imputs Drivers'!G14)*(K157/J157)</f>
        <v>-210100.68749999994</v>
      </c>
      <c r="L11" s="74">
        <f>K11*(1+'Imputs Drivers'!H14)*(L157/K157)</f>
        <v>-224367.98999999993</v>
      </c>
      <c r="M11" s="74">
        <f>L11*(1+'Imputs Drivers'!I14)*(M157/L157)</f>
        <v>-234765.53099999996</v>
      </c>
      <c r="N11" s="74">
        <f>M11*(1+'Imputs Drivers'!J14)*(N157/M157)</f>
        <v>-240544.37484</v>
      </c>
      <c r="O11" s="74">
        <f>N11*(1+'Imputs Drivers'!K14)*(O157/N157)</f>
        <v>-241194.49477200003</v>
      </c>
    </row>
    <row r="12" spans="2:15" hidden="1" outlineLevel="2">
      <c r="B12" s="78" t="s">
        <v>79</v>
      </c>
      <c r="G12" s="83">
        <f>'Imput Historical'!G12</f>
        <v>-500</v>
      </c>
      <c r="H12" s="83">
        <f>'Imput Historical'!H12</f>
        <v>-2058</v>
      </c>
      <c r="I12" s="83">
        <f>'Imput Historical'!I12</f>
        <v>1720</v>
      </c>
      <c r="J12" s="83">
        <f>'Imput Historical'!J12</f>
        <v>1046</v>
      </c>
      <c r="K12" s="74">
        <v>0</v>
      </c>
      <c r="L12" s="74">
        <v>0</v>
      </c>
      <c r="M12" s="74">
        <v>0</v>
      </c>
      <c r="N12" s="74">
        <v>0</v>
      </c>
      <c r="O12" s="74">
        <v>0</v>
      </c>
    </row>
    <row r="13" spans="2:15" hidden="1" outlineLevel="2">
      <c r="B13" s="78" t="s">
        <v>80</v>
      </c>
      <c r="G13" s="83">
        <f>'Imput Historical'!G13</f>
        <v>-188677</v>
      </c>
      <c r="H13" s="83">
        <f>'Imput Historical'!H13</f>
        <v>-176813</v>
      </c>
      <c r="I13" s="83">
        <f>'Imput Historical'!I13</f>
        <v>-243950</v>
      </c>
      <c r="J13" s="83">
        <f>'Imput Historical'!J13</f>
        <v>-345349</v>
      </c>
      <c r="K13" s="74">
        <f>K7*($J$13/$J$7)</f>
        <v>-494983.35410557181</v>
      </c>
      <c r="L13" s="74">
        <f t="shared" ref="L13:O13" si="0">L7*($J$13/$J$7)</f>
        <v>-534814.95577712613</v>
      </c>
      <c r="M13" s="74">
        <f t="shared" si="0"/>
        <v>-573947.75741935486</v>
      </c>
      <c r="N13" s="74">
        <f t="shared" si="0"/>
        <v>-604366.98856258078</v>
      </c>
      <c r="O13" s="74">
        <f t="shared" si="0"/>
        <v>-615989.43065032281</v>
      </c>
    </row>
    <row r="14" spans="2:15" hidden="1" outlineLevel="2">
      <c r="B14" s="78" t="s">
        <v>81</v>
      </c>
      <c r="G14" s="83">
        <f>'Imput Historical'!G14</f>
        <v>-234862</v>
      </c>
      <c r="H14" s="83">
        <f>'Imput Historical'!H14</f>
        <v>-276430</v>
      </c>
      <c r="I14" s="83">
        <f>'Imput Historical'!I14</f>
        <v>-437699</v>
      </c>
      <c r="J14" s="83">
        <f>'Imput Historical'!J14</f>
        <v>-738903</v>
      </c>
      <c r="K14" s="74">
        <f>-K158*365*K159/1000</f>
        <v>-848265.42937499983</v>
      </c>
      <c r="L14" s="74">
        <f>-L158*365*L159/1000</f>
        <v>-950057.28090000001</v>
      </c>
      <c r="M14" s="74">
        <f>-M158*365*M159/1000</f>
        <v>-1045063.00899</v>
      </c>
      <c r="N14" s="74">
        <f>-N158*365*N159/1000</f>
        <v>-1128668.0497092004</v>
      </c>
      <c r="O14" s="74">
        <f>-O158*365*O159/1000</f>
        <v>-1196388.1326917524</v>
      </c>
    </row>
    <row r="15" spans="2:15" hidden="1" outlineLevel="2">
      <c r="B15" s="78" t="s">
        <v>82</v>
      </c>
      <c r="G15" s="83">
        <f>'Imput Historical'!G15</f>
        <v>0</v>
      </c>
      <c r="H15" s="83">
        <f>'Imput Historical'!H15</f>
        <v>-27539</v>
      </c>
      <c r="I15" s="83">
        <f>'Imput Historical'!I15</f>
        <v>-33570</v>
      </c>
      <c r="J15" s="83">
        <f>'Imput Historical'!J15</f>
        <v>-29016</v>
      </c>
      <c r="K15" s="74">
        <v>0</v>
      </c>
      <c r="L15" s="74">
        <v>0</v>
      </c>
      <c r="M15" s="74">
        <v>0</v>
      </c>
      <c r="N15" s="74">
        <v>0</v>
      </c>
      <c r="O15" s="74">
        <v>0</v>
      </c>
    </row>
    <row r="16" spans="2:15" collapsed="1"/>
    <row r="17" spans="2:15" ht="15">
      <c r="B17" s="79" t="s">
        <v>83</v>
      </c>
      <c r="G17" s="84">
        <f>G7+G11+G12+G13+G14+G15</f>
        <v>630236</v>
      </c>
      <c r="H17" s="84">
        <f>H7+H11+H12+H13+H14+H15</f>
        <v>591249</v>
      </c>
      <c r="I17" s="84">
        <f>I7+I11+I12+I13+I14+I15</f>
        <v>817743</v>
      </c>
      <c r="J17" s="84">
        <f>J7+J11+J12+J13+J14+J15</f>
        <v>1175030</v>
      </c>
      <c r="K17" s="77">
        <f>K7+K11+K12+K13+K14+K15</f>
        <v>1992878.6338581378</v>
      </c>
      <c r="L17" s="77">
        <f t="shared" ref="L17:O17" si="1">L7+L11+L12+L13+L14+L15</f>
        <v>2122354.9397744867</v>
      </c>
      <c r="M17" s="77">
        <f t="shared" si="1"/>
        <v>2258179.4909777427</v>
      </c>
      <c r="N17" s="77">
        <f t="shared" si="1"/>
        <v>2356310.0320598329</v>
      </c>
      <c r="O17" s="77">
        <f t="shared" si="1"/>
        <v>2359584.4917723779</v>
      </c>
    </row>
    <row r="19" spans="2:15" hidden="1" outlineLevel="2">
      <c r="B19" s="78" t="s">
        <v>5</v>
      </c>
      <c r="G19" s="83">
        <f>'Imput Historical'!G19</f>
        <v>-59904</v>
      </c>
      <c r="H19" s="83">
        <f>'Imput Historical'!H19</f>
        <v>-68792</v>
      </c>
      <c r="I19" s="83">
        <f>'Imput Historical'!I19</f>
        <v>-140334</v>
      </c>
      <c r="J19" s="83">
        <f>'Imput Historical'!J19</f>
        <v>-218072</v>
      </c>
      <c r="K19" s="74">
        <f>K7*($J$19/$J$7)</f>
        <v>-312559.20821114368</v>
      </c>
      <c r="L19" s="74">
        <f t="shared" ref="L19:O19" si="2">L7*($J$19/$J$7)</f>
        <v>-337711.0315542522</v>
      </c>
      <c r="M19" s="74">
        <f t="shared" si="2"/>
        <v>-362421.59483870975</v>
      </c>
      <c r="N19" s="74">
        <f t="shared" si="2"/>
        <v>-381629.93936516141</v>
      </c>
      <c r="O19" s="74">
        <f t="shared" si="2"/>
        <v>-388968.97666064528</v>
      </c>
    </row>
    <row r="20" spans="2:15" hidden="1" outlineLevel="2">
      <c r="B20" s="78" t="s">
        <v>84</v>
      </c>
      <c r="G20" s="83">
        <f>'Imput Historical'!G20</f>
        <v>-63826</v>
      </c>
      <c r="H20" s="83">
        <f>'Imput Historical'!H20</f>
        <v>-70483</v>
      </c>
      <c r="I20" s="83">
        <f>'Imput Historical'!I20</f>
        <v>-108954</v>
      </c>
      <c r="J20" s="83">
        <f>'Imput Historical'!J20</f>
        <v>-147709</v>
      </c>
      <c r="K20" s="74">
        <f>K7*($J$20/$J$7)</f>
        <v>-211709.01392961876</v>
      </c>
      <c r="L20" s="74">
        <f t="shared" ref="L20:O20" si="3">L7*($J$20/$J$7)</f>
        <v>-228745.36281524927</v>
      </c>
      <c r="M20" s="74">
        <f t="shared" si="3"/>
        <v>-245482.82838709682</v>
      </c>
      <c r="N20" s="74">
        <f t="shared" si="3"/>
        <v>-258493.41829161299</v>
      </c>
      <c r="O20" s="74">
        <f t="shared" si="3"/>
        <v>-263464.4455664517</v>
      </c>
    </row>
    <row r="21" spans="2:15" hidden="1" outlineLevel="2">
      <c r="B21" s="78" t="s">
        <v>85</v>
      </c>
      <c r="G21" s="83">
        <f>'Imput Historical'!G21</f>
        <v>-736</v>
      </c>
      <c r="H21" s="83">
        <f>'Imput Historical'!H21</f>
        <v>-16</v>
      </c>
      <c r="I21" s="83">
        <f>'Imput Historical'!I21</f>
        <v>-138</v>
      </c>
      <c r="J21" s="83">
        <f>'Imput Historical'!J21</f>
        <v>-578</v>
      </c>
      <c r="K21" s="74">
        <v>0</v>
      </c>
      <c r="L21" s="74">
        <v>0</v>
      </c>
      <c r="M21" s="74">
        <v>0</v>
      </c>
      <c r="N21" s="74">
        <v>0</v>
      </c>
      <c r="O21" s="74">
        <v>0</v>
      </c>
    </row>
    <row r="22" spans="2:15" hidden="1" outlineLevel="2">
      <c r="B22" s="78" t="s">
        <v>86</v>
      </c>
      <c r="G22" s="83">
        <f>'Imput Historical'!G22</f>
        <v>26698</v>
      </c>
      <c r="H22" s="83">
        <f>'Imput Historical'!H22</f>
        <v>203812</v>
      </c>
      <c r="I22" s="83">
        <f>'Imput Historical'!I22</f>
        <v>54127</v>
      </c>
      <c r="J22" s="83">
        <f>'Imput Historical'!J22</f>
        <v>512793</v>
      </c>
      <c r="K22" s="74">
        <v>0</v>
      </c>
      <c r="L22" s="74">
        <v>0</v>
      </c>
      <c r="M22" s="74">
        <v>0</v>
      </c>
      <c r="N22" s="74">
        <v>0</v>
      </c>
      <c r="O22" s="74">
        <v>0</v>
      </c>
    </row>
    <row r="23" spans="2:15" hidden="1" outlineLevel="2">
      <c r="B23" s="78" t="s">
        <v>87</v>
      </c>
      <c r="G23" s="83">
        <f>'Imput Historical'!G23</f>
        <v>-3321</v>
      </c>
      <c r="H23" s="83">
        <f>'Imput Historical'!H23</f>
        <v>302</v>
      </c>
      <c r="I23" s="83">
        <f>'Imput Historical'!I23</f>
        <v>-1261</v>
      </c>
      <c r="J23" s="83">
        <f>'Imput Historical'!J23</f>
        <v>-32382</v>
      </c>
      <c r="K23" s="74">
        <v>0</v>
      </c>
      <c r="L23" s="74">
        <v>0</v>
      </c>
      <c r="M23" s="74">
        <v>0</v>
      </c>
      <c r="N23" s="74">
        <v>0</v>
      </c>
      <c r="O23" s="74">
        <v>0</v>
      </c>
    </row>
    <row r="24" spans="2:15" hidden="1" outlineLevel="2">
      <c r="B24" s="78" t="s">
        <v>88</v>
      </c>
      <c r="G24" s="83">
        <f>'Imput Historical'!G24</f>
        <v>0</v>
      </c>
      <c r="H24" s="83">
        <f>'Imput Historical'!H24</f>
        <v>-24585</v>
      </c>
      <c r="I24" s="83">
        <f>'Imput Historical'!I24</f>
        <v>4207</v>
      </c>
      <c r="J24" s="83">
        <f>'Imput Historical'!J24</f>
        <v>-38252</v>
      </c>
      <c r="K24" s="74">
        <v>0</v>
      </c>
      <c r="L24" s="74">
        <v>0</v>
      </c>
      <c r="M24" s="74">
        <v>0</v>
      </c>
      <c r="N24" s="74">
        <v>0</v>
      </c>
      <c r="O24" s="74">
        <v>0</v>
      </c>
    </row>
    <row r="25" spans="2:15" collapsed="1"/>
    <row r="26" spans="2:15" ht="15">
      <c r="B26" s="79" t="s">
        <v>336</v>
      </c>
      <c r="G26" s="77">
        <f>G27-G14-G15-G24-G22-G23</f>
        <v>740632</v>
      </c>
      <c r="H26" s="77">
        <f>H27-H14-H15-H24-H22-H23</f>
        <v>755927</v>
      </c>
      <c r="I26" s="77">
        <f>I27-I14-I15-I24-I22-I23</f>
        <v>1039586</v>
      </c>
      <c r="J26" s="77">
        <f>J27-J14-J15-J24-J22-J23</f>
        <v>1576590</v>
      </c>
      <c r="K26" s="77">
        <f>K27-K14-K15-K24-K22-K23</f>
        <v>2316875.8410923751</v>
      </c>
      <c r="L26" s="77">
        <f>L27-L14-L15-L24-L22-L23</f>
        <v>2505955.8263049852</v>
      </c>
      <c r="M26" s="77">
        <f>M27-M14-M15-M24-M22-M23</f>
        <v>2695338.0767419362</v>
      </c>
      <c r="N26" s="77">
        <f>N27-N14-N15-N24-N22-N23</f>
        <v>2844854.7241122592</v>
      </c>
      <c r="O26" s="77">
        <f>O27-O14-O15-O24-O22-O23</f>
        <v>2903539.2022370333</v>
      </c>
    </row>
    <row r="27" spans="2:15" ht="15">
      <c r="B27" s="79" t="s">
        <v>212</v>
      </c>
      <c r="G27" s="77">
        <f>G17+G19+G20+G21+G22+G23+G24</f>
        <v>529147</v>
      </c>
      <c r="H27" s="77">
        <f>H17+H19+H20+H21+H22+H23+H24</f>
        <v>631487</v>
      </c>
      <c r="I27" s="77">
        <f>I17+I19+I20+I21+I22+I23+I24</f>
        <v>625390</v>
      </c>
      <c r="J27" s="77">
        <f>J17+J19+J20+J21+J22+J23+J24</f>
        <v>1250830</v>
      </c>
      <c r="K27" s="77">
        <f>K17+K19+K20+K21+K22+K23+K24</f>
        <v>1468610.4117173753</v>
      </c>
      <c r="L27" s="77">
        <f t="shared" ref="L27:O27" si="4">L17+L19+L20+L21+L22+L23+L24</f>
        <v>1555898.5454049853</v>
      </c>
      <c r="M27" s="77">
        <f t="shared" si="4"/>
        <v>1650275.0677519361</v>
      </c>
      <c r="N27" s="77">
        <f t="shared" si="4"/>
        <v>1716186.6744030586</v>
      </c>
      <c r="O27" s="77">
        <f t="shared" si="4"/>
        <v>1707151.0695452809</v>
      </c>
    </row>
    <row r="29" spans="2:15">
      <c r="B29" s="78" t="s">
        <v>89</v>
      </c>
      <c r="G29" s="83">
        <f>'Imput Historical'!G28</f>
        <v>0</v>
      </c>
      <c r="H29" s="83">
        <f>'Imput Historical'!H28</f>
        <v>0</v>
      </c>
      <c r="I29" s="83">
        <f>'Imput Historical'!I28</f>
        <v>0</v>
      </c>
      <c r="J29" s="83">
        <f>'Imput Historical'!J28</f>
        <v>-5214</v>
      </c>
      <c r="K29" s="74">
        <v>0</v>
      </c>
      <c r="L29" s="74">
        <v>0</v>
      </c>
      <c r="M29" s="74">
        <v>0</v>
      </c>
      <c r="N29" s="74">
        <v>0</v>
      </c>
      <c r="O29" s="74">
        <v>0</v>
      </c>
    </row>
    <row r="30" spans="2:15" hidden="1" outlineLevel="2">
      <c r="B30" s="78" t="s">
        <v>90</v>
      </c>
      <c r="G30" s="83">
        <f>'Imput Historical'!G29</f>
        <v>809</v>
      </c>
      <c r="H30" s="83">
        <f>'Imput Historical'!H29</f>
        <v>1235</v>
      </c>
      <c r="I30" s="83">
        <f>'Imput Historical'!I29</f>
        <v>4535</v>
      </c>
      <c r="J30" s="83">
        <f>'Imput Historical'!J29</f>
        <v>10594</v>
      </c>
      <c r="K30" s="74">
        <f>K173</f>
        <v>16152.06</v>
      </c>
      <c r="L30" s="74">
        <f>L173</f>
        <v>9378.7812249248473</v>
      </c>
      <c r="M30" s="74">
        <f>M173</f>
        <v>10453.292819144166</v>
      </c>
      <c r="N30" s="74">
        <f>N173</f>
        <v>19940.392870880838</v>
      </c>
      <c r="O30" s="74">
        <f>O173</f>
        <v>37153.747950283767</v>
      </c>
    </row>
    <row r="31" spans="2:15" hidden="1" outlineLevel="2">
      <c r="B31" s="78" t="s">
        <v>91</v>
      </c>
      <c r="G31" s="83">
        <f>'Imput Historical'!G30</f>
        <v>-28886</v>
      </c>
      <c r="H31" s="83">
        <f>'Imput Historical'!H30</f>
        <v>-21879</v>
      </c>
      <c r="I31" s="83">
        <f>'Imput Historical'!I30</f>
        <v>-62499</v>
      </c>
      <c r="J31" s="83">
        <f>'Imput Historical'!J30</f>
        <v>-163356</v>
      </c>
      <c r="K31" s="74">
        <f>K172</f>
        <v>-236555.77499999999</v>
      </c>
      <c r="L31" s="74">
        <f>L172</f>
        <v>-210305.77499999999</v>
      </c>
      <c r="M31" s="74">
        <f>M172</f>
        <v>-184055.77499999999</v>
      </c>
      <c r="N31" s="74">
        <f>N172</f>
        <v>-157805.77499999999</v>
      </c>
      <c r="O31" s="74">
        <f>O172</f>
        <v>-131555.77499999999</v>
      </c>
    </row>
    <row r="32" spans="2:15" hidden="1" outlineLevel="2">
      <c r="B32" s="78" t="s">
        <v>92</v>
      </c>
      <c r="G32" s="83">
        <f>'Imput Historical'!G31</f>
        <v>-67556</v>
      </c>
      <c r="H32" s="83">
        <f>'Imput Historical'!H31</f>
        <v>-65484</v>
      </c>
      <c r="I32" s="83">
        <f>'Imput Historical'!I31</f>
        <v>23401</v>
      </c>
      <c r="J32" s="83">
        <f>'Imput Historical'!J31</f>
        <v>-88183</v>
      </c>
      <c r="K32" s="74">
        <v>0</v>
      </c>
      <c r="L32" s="74">
        <v>0</v>
      </c>
      <c r="M32" s="74">
        <v>0</v>
      </c>
      <c r="N32" s="74">
        <v>0</v>
      </c>
      <c r="O32" s="74">
        <v>0</v>
      </c>
    </row>
    <row r="33" spans="2:15" collapsed="1"/>
    <row r="34" spans="2:15" ht="15">
      <c r="B34" s="79" t="s">
        <v>93</v>
      </c>
      <c r="G34" s="77">
        <f>SUM(G30:G32)</f>
        <v>-95633</v>
      </c>
      <c r="H34" s="77">
        <f>SUM(H30:H32)</f>
        <v>-86128</v>
      </c>
      <c r="I34" s="77">
        <f>SUM(I30:I32)</f>
        <v>-34563</v>
      </c>
      <c r="J34" s="77">
        <f>SUM(J30:J32)</f>
        <v>-240945</v>
      </c>
      <c r="K34" s="77">
        <f>SUM(K30:K32)</f>
        <v>-220403.715</v>
      </c>
      <c r="L34" s="77">
        <f t="shared" ref="L34:O34" si="5">SUM(L30:L32)</f>
        <v>-200926.99377507516</v>
      </c>
      <c r="M34" s="77">
        <f t="shared" si="5"/>
        <v>-173602.48218085582</v>
      </c>
      <c r="N34" s="77">
        <f t="shared" si="5"/>
        <v>-137865.38212911916</v>
      </c>
      <c r="O34" s="77">
        <f t="shared" si="5"/>
        <v>-94402.027049716227</v>
      </c>
    </row>
    <row r="36" spans="2:15" ht="15">
      <c r="B36" s="79" t="s">
        <v>94</v>
      </c>
      <c r="G36" s="77">
        <f>G27+G29+G34</f>
        <v>433514</v>
      </c>
      <c r="H36" s="77">
        <f>H27+H29+H34</f>
        <v>545359</v>
      </c>
      <c r="I36" s="77">
        <f>I27+I29+I34</f>
        <v>590827</v>
      </c>
      <c r="J36" s="77">
        <f>J27+J29+J34</f>
        <v>1004671</v>
      </c>
      <c r="K36" s="77">
        <f>K27+K29+K34</f>
        <v>1248206.6967173752</v>
      </c>
      <c r="L36" s="77">
        <f t="shared" ref="L36:O36" si="6">L27+L29+L34</f>
        <v>1354971.5516299102</v>
      </c>
      <c r="M36" s="77">
        <f t="shared" si="6"/>
        <v>1476672.5855710804</v>
      </c>
      <c r="N36" s="77">
        <f t="shared" si="6"/>
        <v>1578321.2922739394</v>
      </c>
      <c r="O36" s="77">
        <f t="shared" si="6"/>
        <v>1612749.0424955646</v>
      </c>
    </row>
    <row r="38" spans="2:15" hidden="1" outlineLevel="2">
      <c r="B38" s="78" t="s">
        <v>95</v>
      </c>
      <c r="G38" s="83">
        <f>'Imput Historical'!G37</f>
        <v>-92089</v>
      </c>
      <c r="H38" s="83">
        <f>'Imput Historical'!H37</f>
        <v>-16393</v>
      </c>
      <c r="I38" s="83">
        <f>'Imput Historical'!I37</f>
        <v>-426288</v>
      </c>
      <c r="J38" s="83">
        <f>'Imput Historical'!J37</f>
        <v>-241657</v>
      </c>
      <c r="K38" s="74">
        <f>-K36*'Imputs Drivers'!G38</f>
        <v>-374462.00901521253</v>
      </c>
      <c r="L38" s="74">
        <f>-L36*'Imputs Drivers'!H38</f>
        <v>-406491.46548897307</v>
      </c>
      <c r="M38" s="74">
        <f>-M36*'Imputs Drivers'!I38</f>
        <v>-443001.77567132411</v>
      </c>
      <c r="N38" s="74">
        <f>-N36*'Imputs Drivers'!J38</f>
        <v>-473496.38768218178</v>
      </c>
      <c r="O38" s="74">
        <f>-O36*'Imputs Drivers'!K38</f>
        <v>-483824.71274866932</v>
      </c>
    </row>
    <row r="39" spans="2:15" hidden="1" outlineLevel="2">
      <c r="B39" s="78" t="s">
        <v>96</v>
      </c>
      <c r="G39" s="83">
        <f>'Imput Historical'!G38</f>
        <v>-71890</v>
      </c>
      <c r="H39" s="83">
        <f>'Imput Historical'!H38</f>
        <v>-132011</v>
      </c>
      <c r="I39" s="83">
        <f>'Imput Historical'!I38</f>
        <v>312982</v>
      </c>
      <c r="J39" s="83">
        <f>'Imput Historical'!J38</f>
        <v>-43951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</row>
    <row r="40" spans="2:15" ht="15" collapsed="1">
      <c r="B40" s="79" t="s">
        <v>97</v>
      </c>
      <c r="G40" s="77">
        <f>G38+G39</f>
        <v>-163979</v>
      </c>
      <c r="H40" s="77">
        <f>H38+H39</f>
        <v>-148404</v>
      </c>
      <c r="I40" s="77">
        <f>I38+I39</f>
        <v>-113306</v>
      </c>
      <c r="J40" s="77">
        <f>J38+J39</f>
        <v>-285608</v>
      </c>
      <c r="K40" s="77">
        <f>K38+K39</f>
        <v>-374462.00901521253</v>
      </c>
      <c r="L40" s="77">
        <f t="shared" ref="L40:O40" si="7">L38+L39</f>
        <v>-406491.46548897307</v>
      </c>
      <c r="M40" s="77">
        <f t="shared" si="7"/>
        <v>-443001.77567132411</v>
      </c>
      <c r="N40" s="77">
        <f t="shared" si="7"/>
        <v>-473496.38768218178</v>
      </c>
      <c r="O40" s="77">
        <f t="shared" si="7"/>
        <v>-483824.71274866932</v>
      </c>
    </row>
    <row r="42" spans="2:15" ht="15">
      <c r="B42" s="79" t="s">
        <v>98</v>
      </c>
      <c r="G42" s="77">
        <f>G36+G40</f>
        <v>269535</v>
      </c>
      <c r="H42" s="77">
        <f>H36+H40</f>
        <v>396955</v>
      </c>
      <c r="I42" s="77">
        <f>I36+I40</f>
        <v>477521</v>
      </c>
      <c r="J42" s="77">
        <f>J36+J40</f>
        <v>719063</v>
      </c>
      <c r="K42" s="77">
        <f>K36+K40</f>
        <v>873744.68770216266</v>
      </c>
      <c r="L42" s="77">
        <f t="shared" ref="L42:O42" si="8">L36+L40</f>
        <v>948480.08614093717</v>
      </c>
      <c r="M42" s="77">
        <f t="shared" si="8"/>
        <v>1033670.8098997563</v>
      </c>
      <c r="N42" s="77">
        <f t="shared" si="8"/>
        <v>1104824.9045917576</v>
      </c>
      <c r="O42" s="77">
        <f t="shared" si="8"/>
        <v>1128924.3297468952</v>
      </c>
    </row>
    <row r="44" spans="2:15" ht="15">
      <c r="B44" s="79" t="s">
        <v>104</v>
      </c>
    </row>
    <row r="46" spans="2:15">
      <c r="B46" s="78" t="s">
        <v>105</v>
      </c>
      <c r="G46" s="85">
        <f>'Imput Historical'!G54</f>
        <v>3.0680000000000001</v>
      </c>
      <c r="H46" s="85">
        <f>'Imput Historical'!H54</f>
        <v>4.2370000000000001</v>
      </c>
      <c r="I46" s="85">
        <f>'Imput Historical'!I54</f>
        <v>4.9790000000000001</v>
      </c>
      <c r="J46" s="85">
        <f>'Imput Historical'!J54</f>
        <v>7.0149999999999997</v>
      </c>
      <c r="K46" s="129">
        <f>K42*$J$46/$J$42</f>
        <v>8.5240361195481782</v>
      </c>
      <c r="L46" s="129">
        <f t="shared" ref="L46:O46" si="9">L42*$J$46/$J$42</f>
        <v>9.2531361011186419</v>
      </c>
      <c r="M46" s="129">
        <f t="shared" si="9"/>
        <v>10.084235639223254</v>
      </c>
      <c r="N46" s="129">
        <f t="shared" si="9"/>
        <v>10.778397311099555</v>
      </c>
      <c r="O46" s="129">
        <f t="shared" si="9"/>
        <v>11.013505316188526</v>
      </c>
    </row>
    <row r="47" spans="2:15">
      <c r="B47" s="78" t="s">
        <v>106</v>
      </c>
      <c r="G47" s="85">
        <f>'Imput Historical'!G55</f>
        <v>2.7549999999999999</v>
      </c>
      <c r="H47" s="85">
        <f>'Imput Historical'!H55</f>
        <v>4</v>
      </c>
      <c r="I47" s="85">
        <f>'Imput Historical'!I55</f>
        <v>4.633</v>
      </c>
      <c r="J47" s="85">
        <f>'Imput Historical'!J55</f>
        <v>6.7069999999999999</v>
      </c>
      <c r="K47" s="129">
        <f>K42*$J$47/$J$42</f>
        <v>8.1497805066015143</v>
      </c>
      <c r="L47" s="129">
        <f t="shared" ref="L47:O47" si="10">L42*$J$47/$J$42</f>
        <v>8.8468686857024554</v>
      </c>
      <c r="M47" s="129">
        <f t="shared" si="10"/>
        <v>9.6414780373870794</v>
      </c>
      <c r="N47" s="129">
        <f t="shared" si="10"/>
        <v>10.305161905280785</v>
      </c>
      <c r="O47" s="129">
        <f t="shared" si="10"/>
        <v>10.529947278072195</v>
      </c>
    </row>
    <row r="50" spans="2:15" ht="15">
      <c r="B50" s="81" t="s">
        <v>177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2" spans="2:15" ht="15">
      <c r="B52" s="82" t="s">
        <v>76</v>
      </c>
      <c r="G52" s="79" t="s">
        <v>57</v>
      </c>
      <c r="H52" s="79" t="s">
        <v>58</v>
      </c>
      <c r="I52" s="79" t="s">
        <v>59</v>
      </c>
      <c r="J52" s="79" t="s">
        <v>60</v>
      </c>
      <c r="K52" s="79" t="s">
        <v>61</v>
      </c>
      <c r="L52" s="79" t="s">
        <v>62</v>
      </c>
      <c r="M52" s="79" t="s">
        <v>63</v>
      </c>
      <c r="N52" s="79" t="s">
        <v>64</v>
      </c>
      <c r="O52" s="79" t="s">
        <v>65</v>
      </c>
    </row>
    <row r="54" spans="2:15" ht="15">
      <c r="B54" s="79" t="s">
        <v>178</v>
      </c>
    </row>
    <row r="55" spans="2:15" ht="15">
      <c r="B55" s="79" t="s">
        <v>179</v>
      </c>
    </row>
    <row r="57" spans="2:15" hidden="1" outlineLevel="2">
      <c r="B57" s="78" t="s">
        <v>180</v>
      </c>
      <c r="G57" s="83">
        <f>'Imput Historical'!G154</f>
        <v>1606339</v>
      </c>
      <c r="H57" s="83">
        <f>'Imput Historical'!H154</f>
        <v>1927759</v>
      </c>
      <c r="I57" s="83">
        <f>'Imput Historical'!I154</f>
        <v>2805983</v>
      </c>
      <c r="J57" s="83">
        <f>'Imput Historical'!J154</f>
        <v>5543032</v>
      </c>
      <c r="K57" s="74">
        <f>J57+'Imputs Drivers'!G26*1000+K14</f>
        <v>6244766.5706249997</v>
      </c>
      <c r="L57" s="74">
        <f>K57+'Imputs Drivers'!H26*1000+L14</f>
        <v>6794709.289725</v>
      </c>
      <c r="M57" s="74">
        <f>L57+'Imputs Drivers'!I26*1000+M14</f>
        <v>7149646.280735</v>
      </c>
      <c r="N57" s="74">
        <f>M57+'Imputs Drivers'!J26*1000+N14</f>
        <v>7320978.2310258001</v>
      </c>
      <c r="O57" s="74">
        <f>N57+'Imputs Drivers'!K26*1000+O14</f>
        <v>7324590.0983340479</v>
      </c>
    </row>
    <row r="58" spans="2:15" hidden="1" outlineLevel="2">
      <c r="B58" s="78" t="s">
        <v>181</v>
      </c>
      <c r="G58" s="83">
        <f>'Imput Historical'!G155</f>
        <v>28288</v>
      </c>
      <c r="H58" s="83">
        <f>'Imput Historical'!H155</f>
        <v>22576</v>
      </c>
      <c r="I58" s="83">
        <f>'Imput Historical'!I155</f>
        <v>22576</v>
      </c>
      <c r="J58" s="83">
        <f>'Imput Historical'!J155</f>
        <v>22576</v>
      </c>
      <c r="K58" s="74">
        <f>J58</f>
        <v>22576</v>
      </c>
      <c r="L58" s="74">
        <f t="shared" ref="L58:O58" si="11">K58</f>
        <v>22576</v>
      </c>
      <c r="M58" s="74">
        <f t="shared" si="11"/>
        <v>22576</v>
      </c>
      <c r="N58" s="74">
        <f t="shared" si="11"/>
        <v>22576</v>
      </c>
      <c r="O58" s="74">
        <f t="shared" si="11"/>
        <v>22576</v>
      </c>
    </row>
    <row r="59" spans="2:15" hidden="1" outlineLevel="2">
      <c r="B59" s="78" t="s">
        <v>182</v>
      </c>
      <c r="G59" s="83">
        <f>'Imput Historical'!G156</f>
        <v>6792</v>
      </c>
      <c r="H59" s="83">
        <f>'Imput Historical'!H156</f>
        <v>10026</v>
      </c>
      <c r="I59" s="83">
        <f>'Imput Historical'!I156</f>
        <v>15443</v>
      </c>
      <c r="J59" s="83">
        <f>'Imput Historical'!J156</f>
        <v>18485</v>
      </c>
      <c r="K59" s="74">
        <f>J59</f>
        <v>18485</v>
      </c>
      <c r="L59" s="74">
        <f t="shared" ref="L59:O59" si="12">K59</f>
        <v>18485</v>
      </c>
      <c r="M59" s="74">
        <f t="shared" si="12"/>
        <v>18485</v>
      </c>
      <c r="N59" s="74">
        <f t="shared" si="12"/>
        <v>18485</v>
      </c>
      <c r="O59" s="74">
        <f t="shared" si="12"/>
        <v>18485</v>
      </c>
    </row>
    <row r="60" spans="2:15" hidden="1" outlineLevel="2">
      <c r="B60" s="78" t="s">
        <v>183</v>
      </c>
      <c r="G60" s="83">
        <f>'Imput Historical'!G157</f>
        <v>26228</v>
      </c>
      <c r="H60" s="83">
        <f>'Imput Historical'!H157</f>
        <v>61025</v>
      </c>
      <c r="I60" s="83">
        <f>'Imput Historical'!I157</f>
        <v>105333</v>
      </c>
      <c r="J60" s="83">
        <f>'Imput Historical'!J157</f>
        <v>153283</v>
      </c>
      <c r="K60" s="74">
        <f>J60</f>
        <v>153283</v>
      </c>
      <c r="L60" s="74">
        <f t="shared" ref="L60:O60" si="13">K60</f>
        <v>153283</v>
      </c>
      <c r="M60" s="74">
        <f t="shared" si="13"/>
        <v>153283</v>
      </c>
      <c r="N60" s="74">
        <f t="shared" si="13"/>
        <v>153283</v>
      </c>
      <c r="O60" s="74">
        <f t="shared" si="13"/>
        <v>153283</v>
      </c>
    </row>
    <row r="61" spans="2:15" hidden="1" outlineLevel="2">
      <c r="B61" s="78" t="s">
        <v>184</v>
      </c>
      <c r="G61" s="83">
        <f>'Imput Historical'!G158</f>
        <v>0</v>
      </c>
      <c r="H61" s="83">
        <f>'Imput Historical'!H158</f>
        <v>0</v>
      </c>
      <c r="I61" s="83">
        <f>'Imput Historical'!I158</f>
        <v>10027</v>
      </c>
      <c r="J61" s="83">
        <f>'Imput Historical'!J158</f>
        <v>15855</v>
      </c>
      <c r="K61" s="74">
        <f>J61</f>
        <v>15855</v>
      </c>
      <c r="L61" s="74">
        <f t="shared" ref="L61:O61" si="14">K61</f>
        <v>15855</v>
      </c>
      <c r="M61" s="74">
        <f t="shared" si="14"/>
        <v>15855</v>
      </c>
      <c r="N61" s="74">
        <f t="shared" si="14"/>
        <v>15855</v>
      </c>
      <c r="O61" s="74">
        <f t="shared" si="14"/>
        <v>15855</v>
      </c>
    </row>
    <row r="62" spans="2:15" hidden="1" outlineLevel="2">
      <c r="B62" s="78" t="s">
        <v>185</v>
      </c>
      <c r="G62" s="83">
        <f>'Imput Historical'!G159</f>
        <v>6443</v>
      </c>
      <c r="H62" s="83">
        <f>'Imput Historical'!H159</f>
        <v>8619</v>
      </c>
      <c r="I62" s="83">
        <f>'Imput Historical'!I159</f>
        <v>11906</v>
      </c>
      <c r="J62" s="83">
        <f>'Imput Historical'!J159</f>
        <v>54542</v>
      </c>
      <c r="K62" s="74">
        <f>J62</f>
        <v>54542</v>
      </c>
      <c r="L62" s="74">
        <f t="shared" ref="L62:O62" si="15">K62</f>
        <v>54542</v>
      </c>
      <c r="M62" s="74">
        <f t="shared" si="15"/>
        <v>54542</v>
      </c>
      <c r="N62" s="74">
        <f t="shared" si="15"/>
        <v>54542</v>
      </c>
      <c r="O62" s="74">
        <f t="shared" si="15"/>
        <v>54542</v>
      </c>
    </row>
    <row r="63" spans="2:15" hidden="1" outlineLevel="2">
      <c r="B63" s="78" t="s">
        <v>213</v>
      </c>
      <c r="G63" s="83">
        <f>'Imput Historical'!G160</f>
        <v>15864</v>
      </c>
      <c r="H63" s="83">
        <f>'Imput Historical'!H160</f>
        <v>136351</v>
      </c>
      <c r="I63" s="83">
        <f>'Imput Historical'!I160</f>
        <v>205268</v>
      </c>
      <c r="J63" s="83">
        <f>'Imput Historical'!J160</f>
        <v>373026</v>
      </c>
      <c r="K63" s="74">
        <f>K7*($J$63/$J$7)</f>
        <v>534652.36803519062</v>
      </c>
      <c r="L63" s="74">
        <f t="shared" ref="L63:O63" si="16">L7*($J$63/$J$7)</f>
        <v>577676.15859237546</v>
      </c>
      <c r="M63" s="74">
        <f t="shared" si="16"/>
        <v>619945.14580645179</v>
      </c>
      <c r="N63" s="74">
        <f t="shared" si="16"/>
        <v>652802.23853419384</v>
      </c>
      <c r="O63" s="74">
        <f t="shared" si="16"/>
        <v>665356.12773677439</v>
      </c>
    </row>
    <row r="64" spans="2:15" hidden="1" outlineLevel="2">
      <c r="B64" s="78" t="s">
        <v>186</v>
      </c>
      <c r="G64" s="83">
        <f>'Imput Historical'!G161</f>
        <v>335</v>
      </c>
      <c r="H64" s="83">
        <f>'Imput Historical'!H161</f>
        <v>5743</v>
      </c>
      <c r="I64" s="83">
        <f>'Imput Historical'!I161</f>
        <v>3565</v>
      </c>
      <c r="J64" s="83">
        <f>'Imput Historical'!J161</f>
        <v>36514</v>
      </c>
      <c r="K64" s="74">
        <f>J64</f>
        <v>36514</v>
      </c>
      <c r="L64" s="74">
        <f t="shared" ref="L64:O64" si="17">K64</f>
        <v>36514</v>
      </c>
      <c r="M64" s="74">
        <f t="shared" si="17"/>
        <v>36514</v>
      </c>
      <c r="N64" s="74">
        <f t="shared" si="17"/>
        <v>36514</v>
      </c>
      <c r="O64" s="74">
        <f t="shared" si="17"/>
        <v>36514</v>
      </c>
    </row>
    <row r="65" spans="2:15" collapsed="1"/>
    <row r="66" spans="2:15" ht="15">
      <c r="B66" s="79" t="s">
        <v>187</v>
      </c>
      <c r="G66" s="77">
        <f>SUM(G57:G64)</f>
        <v>1690289</v>
      </c>
      <c r="H66" s="77">
        <f t="shared" ref="H66:J66" si="18">SUM(H57:H64)</f>
        <v>2172099</v>
      </c>
      <c r="I66" s="77">
        <f t="shared" si="18"/>
        <v>3180101</v>
      </c>
      <c r="J66" s="77">
        <f t="shared" si="18"/>
        <v>6217313</v>
      </c>
      <c r="K66" s="77">
        <f>SUM(K57:K64)</f>
        <v>7080673.9386601904</v>
      </c>
      <c r="L66" s="77">
        <f t="shared" ref="L66:O66" si="19">SUM(L57:L64)</f>
        <v>7673640.448317375</v>
      </c>
      <c r="M66" s="77">
        <f t="shared" si="19"/>
        <v>8070846.4265414514</v>
      </c>
      <c r="N66" s="77">
        <f t="shared" si="19"/>
        <v>8275035.4695599936</v>
      </c>
      <c r="O66" s="77">
        <f t="shared" si="19"/>
        <v>8291201.2260708222</v>
      </c>
    </row>
    <row r="68" spans="2:15" ht="15">
      <c r="B68" s="79" t="s">
        <v>188</v>
      </c>
    </row>
    <row r="70" spans="2:15" hidden="1" outlineLevel="2">
      <c r="B70" s="78" t="s">
        <v>138</v>
      </c>
      <c r="G70" s="83">
        <f>'Imput Historical'!G166</f>
        <v>12899</v>
      </c>
      <c r="H70" s="83">
        <f>'Imput Historical'!H166</f>
        <v>7549</v>
      </c>
      <c r="I70" s="83">
        <f>'Imput Historical'!I166</f>
        <v>6469</v>
      </c>
      <c r="J70" s="83">
        <f>'Imput Historical'!J166</f>
        <v>9457</v>
      </c>
      <c r="K70" s="74">
        <f>K7*($J$70/$J$7)</f>
        <v>13554.571114369501</v>
      </c>
      <c r="L70" s="74">
        <f t="shared" ref="L70:O70" si="20">L7*($J$70/$J$7)</f>
        <v>14645.315425219942</v>
      </c>
      <c r="M70" s="74">
        <f t="shared" si="20"/>
        <v>15716.923870967745</v>
      </c>
      <c r="N70" s="74">
        <f t="shared" si="20"/>
        <v>16549.920836129037</v>
      </c>
      <c r="O70" s="74">
        <f t="shared" si="20"/>
        <v>16868.188544516135</v>
      </c>
    </row>
    <row r="71" spans="2:15" hidden="1" outlineLevel="2">
      <c r="B71" s="78" t="s">
        <v>137</v>
      </c>
      <c r="G71" s="83">
        <f>'Imput Historical'!G167</f>
        <v>90406</v>
      </c>
      <c r="H71" s="83">
        <f>'Imput Historical'!H167</f>
        <v>205102</v>
      </c>
      <c r="I71" s="83">
        <f>'Imput Historical'!I167</f>
        <v>281495</v>
      </c>
      <c r="J71" s="83">
        <f>'Imput Historical'!J167</f>
        <v>347681</v>
      </c>
      <c r="K71" s="74">
        <f>K7*($J$71/$J$7)</f>
        <v>498325.77346041054</v>
      </c>
      <c r="L71" s="74">
        <f t="shared" ref="L71:O71" si="21">L7*($J$71/$J$7)</f>
        <v>538426.34158357768</v>
      </c>
      <c r="M71" s="74">
        <f t="shared" si="21"/>
        <v>577823.39096774207</v>
      </c>
      <c r="N71" s="74">
        <f t="shared" si="21"/>
        <v>608448.0306890324</v>
      </c>
      <c r="O71" s="74">
        <f t="shared" si="21"/>
        <v>620148.95435612928</v>
      </c>
    </row>
    <row r="72" spans="2:15" hidden="1" outlineLevel="2">
      <c r="B72" s="78" t="s">
        <v>189</v>
      </c>
      <c r="G72" s="83">
        <f>'Imput Historical'!G168</f>
        <v>244385</v>
      </c>
      <c r="H72" s="83">
        <f>'Imput Historical'!H168</f>
        <v>213253</v>
      </c>
      <c r="I72" s="83">
        <f>'Imput Historical'!I168</f>
        <v>764307</v>
      </c>
      <c r="J72" s="83">
        <f>'Imput Historical'!J168</f>
        <v>538402</v>
      </c>
      <c r="K72" s="74">
        <f>K149</f>
        <v>312626.04083082825</v>
      </c>
      <c r="L72" s="74">
        <f>L149</f>
        <v>348443.09397147223</v>
      </c>
      <c r="M72" s="74">
        <f>M149</f>
        <v>664679.7623626946</v>
      </c>
      <c r="N72" s="74">
        <f>N149</f>
        <v>1238458.2650094589</v>
      </c>
      <c r="O72" s="74">
        <f>O149</f>
        <v>2010059.0737500421</v>
      </c>
    </row>
    <row r="73" spans="2:15" collapsed="1"/>
    <row r="74" spans="2:15" ht="15">
      <c r="B74" s="79" t="s">
        <v>190</v>
      </c>
      <c r="G74" s="77">
        <f>SUM(G70:G72)</f>
        <v>347690</v>
      </c>
      <c r="H74" s="77">
        <f t="shared" ref="H74:J74" si="22">SUM(H70:H72)</f>
        <v>425904</v>
      </c>
      <c r="I74" s="77">
        <f t="shared" si="22"/>
        <v>1052271</v>
      </c>
      <c r="J74" s="77">
        <f t="shared" si="22"/>
        <v>895540</v>
      </c>
      <c r="K74" s="77">
        <f>SUM(K70:K72)</f>
        <v>824506.38540560822</v>
      </c>
      <c r="L74" s="77">
        <f t="shared" ref="L74:O74" si="23">SUM(L70:L72)</f>
        <v>901514.75098026986</v>
      </c>
      <c r="M74" s="77">
        <f t="shared" si="23"/>
        <v>1258220.0772014044</v>
      </c>
      <c r="N74" s="77">
        <f t="shared" si="23"/>
        <v>1863456.2165346202</v>
      </c>
      <c r="O74" s="77">
        <f t="shared" si="23"/>
        <v>2647076.2166506876</v>
      </c>
    </row>
    <row r="75" spans="2:15" ht="15">
      <c r="B75" s="79" t="s">
        <v>38</v>
      </c>
      <c r="G75" s="77">
        <f>G66+G74</f>
        <v>2037979</v>
      </c>
      <c r="H75" s="77">
        <f t="shared" ref="H75:J75" si="24">H66+H74</f>
        <v>2598003</v>
      </c>
      <c r="I75" s="77">
        <f t="shared" si="24"/>
        <v>4232372</v>
      </c>
      <c r="J75" s="77">
        <f t="shared" si="24"/>
        <v>7112853</v>
      </c>
      <c r="K75" s="77">
        <f>K66+K74</f>
        <v>7905180.3240657989</v>
      </c>
      <c r="L75" s="77">
        <f t="shared" ref="L75:O75" si="25">L66+L74</f>
        <v>8575155.1992976442</v>
      </c>
      <c r="M75" s="77">
        <f t="shared" si="25"/>
        <v>9329066.503742855</v>
      </c>
      <c r="N75" s="77">
        <f t="shared" si="25"/>
        <v>10138491.686094614</v>
      </c>
      <c r="O75" s="77">
        <f t="shared" si="25"/>
        <v>10938277.44272151</v>
      </c>
    </row>
    <row r="77" spans="2:15" ht="15">
      <c r="B77" s="79" t="s">
        <v>191</v>
      </c>
    </row>
    <row r="78" spans="2:15" ht="15">
      <c r="B78" s="79" t="s">
        <v>192</v>
      </c>
    </row>
    <row r="80" spans="2:15" ht="15" hidden="1" outlineLevel="2">
      <c r="B80" s="79" t="s">
        <v>193</v>
      </c>
      <c r="G80" s="83">
        <f>'Imput Historical'!G176</f>
        <v>517873</v>
      </c>
      <c r="H80" s="83">
        <f>'Imput Historical'!H176</f>
        <v>517874</v>
      </c>
      <c r="I80" s="83">
        <f>'Imput Historical'!I176</f>
        <v>398064</v>
      </c>
      <c r="J80" s="83">
        <f>'Imput Historical'!J176</f>
        <v>491165</v>
      </c>
      <c r="K80" s="74">
        <f t="shared" ref="K80:K85" si="26">J80</f>
        <v>491165</v>
      </c>
      <c r="L80" s="74">
        <f t="shared" ref="L80:O80" si="27">K80</f>
        <v>491165</v>
      </c>
      <c r="M80" s="74">
        <f t="shared" si="27"/>
        <v>491165</v>
      </c>
      <c r="N80" s="74">
        <f t="shared" si="27"/>
        <v>491165</v>
      </c>
      <c r="O80" s="74">
        <f t="shared" si="27"/>
        <v>491165</v>
      </c>
    </row>
    <row r="81" spans="2:15" ht="15" hidden="1" outlineLevel="2">
      <c r="B81" s="79" t="s">
        <v>194</v>
      </c>
      <c r="G81" s="83">
        <f>'Imput Historical'!G177</f>
        <v>32144</v>
      </c>
      <c r="H81" s="83">
        <f>'Imput Historical'!H177</f>
        <v>32144</v>
      </c>
      <c r="I81" s="83">
        <f>'Imput Historical'!I177</f>
        <v>32144</v>
      </c>
      <c r="J81" s="83">
        <f>'Imput Historical'!J177</f>
        <v>32144</v>
      </c>
      <c r="K81" s="74">
        <f t="shared" si="26"/>
        <v>32144</v>
      </c>
      <c r="L81" s="74">
        <f t="shared" ref="L81:O81" si="28">K81</f>
        <v>32144</v>
      </c>
      <c r="M81" s="74">
        <f t="shared" si="28"/>
        <v>32144</v>
      </c>
      <c r="N81" s="74">
        <f t="shared" si="28"/>
        <v>32144</v>
      </c>
      <c r="O81" s="74">
        <f t="shared" si="28"/>
        <v>32144</v>
      </c>
    </row>
    <row r="82" spans="2:15" ht="15" hidden="1" outlineLevel="2">
      <c r="B82" s="79" t="s">
        <v>195</v>
      </c>
      <c r="G82" s="83">
        <f>'Imput Historical'!G178</f>
        <v>2603</v>
      </c>
      <c r="H82" s="83">
        <f>'Imput Historical'!H178</f>
        <v>8233</v>
      </c>
      <c r="I82" s="83">
        <f>'Imput Historical'!I178</f>
        <v>8233</v>
      </c>
      <c r="J82" s="83">
        <f>'Imput Historical'!J178</f>
        <v>8233</v>
      </c>
      <c r="K82" s="74">
        <f t="shared" si="26"/>
        <v>8233</v>
      </c>
      <c r="L82" s="74">
        <f t="shared" ref="L82:O82" si="29">K82</f>
        <v>8233</v>
      </c>
      <c r="M82" s="74">
        <f t="shared" si="29"/>
        <v>8233</v>
      </c>
      <c r="N82" s="74">
        <f t="shared" si="29"/>
        <v>8233</v>
      </c>
      <c r="O82" s="74">
        <f t="shared" si="29"/>
        <v>8233</v>
      </c>
    </row>
    <row r="83" spans="2:15" ht="15" hidden="1" outlineLevel="2">
      <c r="B83" s="79" t="s">
        <v>111</v>
      </c>
      <c r="G83" s="83">
        <f>'Imput Historical'!G179</f>
        <v>40744</v>
      </c>
      <c r="H83" s="83">
        <f>'Imput Historical'!H179</f>
        <v>42476</v>
      </c>
      <c r="I83" s="83">
        <f>'Imput Historical'!I179</f>
        <v>45628</v>
      </c>
      <c r="J83" s="83">
        <f>'Imput Historical'!J179</f>
        <v>-32765</v>
      </c>
      <c r="K83" s="74">
        <f t="shared" si="26"/>
        <v>-32765</v>
      </c>
      <c r="L83" s="74">
        <f t="shared" ref="L83:O83" si="30">K83</f>
        <v>-32765</v>
      </c>
      <c r="M83" s="74">
        <f t="shared" si="30"/>
        <v>-32765</v>
      </c>
      <c r="N83" s="74">
        <f t="shared" si="30"/>
        <v>-32765</v>
      </c>
      <c r="O83" s="74">
        <f t="shared" si="30"/>
        <v>-32765</v>
      </c>
    </row>
    <row r="84" spans="2:15" ht="15" hidden="1" outlineLevel="2">
      <c r="B84" s="79" t="s">
        <v>196</v>
      </c>
      <c r="G84" s="83">
        <f>'Imput Historical'!G180</f>
        <v>49465</v>
      </c>
      <c r="H84" s="83">
        <f>'Imput Historical'!H180</f>
        <v>79324</v>
      </c>
      <c r="I84" s="83">
        <f>'Imput Historical'!I180</f>
        <v>129324</v>
      </c>
      <c r="J84" s="83">
        <f>'Imput Historical'!J180</f>
        <v>179324</v>
      </c>
      <c r="K84" s="74">
        <f t="shared" si="26"/>
        <v>179324</v>
      </c>
      <c r="L84" s="74">
        <f t="shared" ref="L84:O84" si="31">K84</f>
        <v>179324</v>
      </c>
      <c r="M84" s="74">
        <f t="shared" si="31"/>
        <v>179324</v>
      </c>
      <c r="N84" s="74">
        <f t="shared" si="31"/>
        <v>179324</v>
      </c>
      <c r="O84" s="74">
        <f t="shared" si="31"/>
        <v>179324</v>
      </c>
    </row>
    <row r="85" spans="2:15" ht="15" hidden="1" outlineLevel="2">
      <c r="B85" s="79" t="s">
        <v>197</v>
      </c>
      <c r="G85" s="83">
        <f>'Imput Historical'!G181</f>
        <v>-8694</v>
      </c>
      <c r="H85" s="83">
        <f>'Imput Historical'!H181</f>
        <v>-4427</v>
      </c>
      <c r="I85" s="83">
        <f>'Imput Historical'!I181</f>
        <v>-11057</v>
      </c>
      <c r="J85" s="83">
        <f>'Imput Historical'!J181</f>
        <v>-11034</v>
      </c>
      <c r="K85" s="74">
        <f t="shared" si="26"/>
        <v>-11034</v>
      </c>
      <c r="L85" s="74">
        <f t="shared" ref="L85:O85" si="32">K85</f>
        <v>-11034</v>
      </c>
      <c r="M85" s="74">
        <f t="shared" si="32"/>
        <v>-11034</v>
      </c>
      <c r="N85" s="74">
        <f t="shared" si="32"/>
        <v>-11034</v>
      </c>
      <c r="O85" s="74">
        <f t="shared" si="32"/>
        <v>-11034</v>
      </c>
    </row>
    <row r="86" spans="2:15" ht="15" hidden="1" outlineLevel="2">
      <c r="B86" s="79" t="s">
        <v>198</v>
      </c>
      <c r="G86" s="83">
        <f>'Imput Historical'!G182</f>
        <v>209925</v>
      </c>
      <c r="H86" s="83">
        <f>'Imput Historical'!H182</f>
        <v>571391</v>
      </c>
      <c r="I86" s="83">
        <f>'Imput Historical'!I182</f>
        <v>1018877</v>
      </c>
      <c r="J86" s="83">
        <f>'Imput Historical'!J182</f>
        <v>1844527</v>
      </c>
      <c r="K86" s="74">
        <f>J86+K42</f>
        <v>2718271.6877021627</v>
      </c>
      <c r="L86" s="74">
        <f t="shared" ref="L86:O86" si="33">K86+L42</f>
        <v>3666751.7738430998</v>
      </c>
      <c r="M86" s="74">
        <f t="shared" si="33"/>
        <v>4700422.583742856</v>
      </c>
      <c r="N86" s="74">
        <f t="shared" si="33"/>
        <v>5805247.4883346139</v>
      </c>
      <c r="O86" s="74">
        <f t="shared" si="33"/>
        <v>6934171.8180815093</v>
      </c>
    </row>
    <row r="87" spans="2:15" collapsed="1"/>
    <row r="88" spans="2:15" ht="15">
      <c r="B88" s="79" t="s">
        <v>40</v>
      </c>
      <c r="G88" s="77">
        <f>SUM(G80:G86)</f>
        <v>844060</v>
      </c>
      <c r="H88" s="77">
        <f t="shared" ref="H88:J88" si="34">SUM(H80:H86)</f>
        <v>1247015</v>
      </c>
      <c r="I88" s="77">
        <f t="shared" si="34"/>
        <v>1621213</v>
      </c>
      <c r="J88" s="77">
        <f t="shared" si="34"/>
        <v>2511594</v>
      </c>
      <c r="K88" s="77">
        <f>SUM(K80:K86)</f>
        <v>3385338.6877021627</v>
      </c>
      <c r="L88" s="77">
        <f t="shared" ref="L88:O88" si="35">SUM(L80:L86)</f>
        <v>4333818.7738431003</v>
      </c>
      <c r="M88" s="77">
        <f t="shared" si="35"/>
        <v>5367489.583742856</v>
      </c>
      <c r="N88" s="77">
        <f t="shared" si="35"/>
        <v>6472314.4883346139</v>
      </c>
      <c r="O88" s="77">
        <f t="shared" si="35"/>
        <v>7601238.8180815093</v>
      </c>
    </row>
    <row r="90" spans="2:15" ht="15">
      <c r="B90" s="79" t="s">
        <v>199</v>
      </c>
    </row>
    <row r="91" spans="2:15" ht="15">
      <c r="B91" s="79" t="s">
        <v>200</v>
      </c>
    </row>
    <row r="93" spans="2:15" ht="15" hidden="1" outlineLevel="1">
      <c r="B93" s="79" t="s">
        <v>201</v>
      </c>
      <c r="G93" s="83">
        <f>'Imput Historical'!G189</f>
        <v>243411</v>
      </c>
      <c r="H93" s="83">
        <f>'Imput Historical'!H189</f>
        <v>383128</v>
      </c>
      <c r="I93" s="83">
        <f>'Imput Historical'!I189</f>
        <v>64398</v>
      </c>
      <c r="J93" s="83">
        <f>'Imput Historical'!J189</f>
        <v>298664</v>
      </c>
      <c r="K93" s="74">
        <f t="shared" ref="K93:K99" si="36">J93</f>
        <v>298664</v>
      </c>
      <c r="L93" s="74">
        <f t="shared" ref="L93:O93" si="37">K93</f>
        <v>298664</v>
      </c>
      <c r="M93" s="74">
        <f t="shared" si="37"/>
        <v>298664</v>
      </c>
      <c r="N93" s="74">
        <f t="shared" si="37"/>
        <v>298664</v>
      </c>
      <c r="O93" s="74">
        <f t="shared" si="37"/>
        <v>298664</v>
      </c>
    </row>
    <row r="94" spans="2:15" ht="15" hidden="1" outlineLevel="1">
      <c r="B94" s="79" t="s">
        <v>214</v>
      </c>
      <c r="G94" s="83">
        <f>'Imput Historical'!G190</f>
        <v>20644</v>
      </c>
      <c r="H94" s="83">
        <f>'Imput Historical'!H190</f>
        <v>35600</v>
      </c>
      <c r="I94" s="83">
        <f>'Imput Historical'!I190</f>
        <v>37638</v>
      </c>
      <c r="J94" s="83">
        <f>'Imput Historical'!J190</f>
        <v>88451</v>
      </c>
      <c r="K94" s="74">
        <f t="shared" si="36"/>
        <v>88451</v>
      </c>
      <c r="L94" s="74">
        <f t="shared" ref="L94:O94" si="38">K94</f>
        <v>88451</v>
      </c>
      <c r="M94" s="74">
        <f t="shared" si="38"/>
        <v>88451</v>
      </c>
      <c r="N94" s="74">
        <f t="shared" si="38"/>
        <v>88451</v>
      </c>
      <c r="O94" s="74">
        <f t="shared" si="38"/>
        <v>88451</v>
      </c>
    </row>
    <row r="95" spans="2:15" ht="15" hidden="1" outlineLevel="1">
      <c r="B95" s="79" t="s">
        <v>215</v>
      </c>
      <c r="G95" s="83">
        <f>'Imput Historical'!G191</f>
        <v>31668</v>
      </c>
      <c r="H95" s="83">
        <f>'Imput Historical'!H191</f>
        <v>12339</v>
      </c>
      <c r="I95" s="83">
        <f>'Imput Historical'!I191</f>
        <v>33058</v>
      </c>
      <c r="J95" s="83">
        <f>'Imput Historical'!J191</f>
        <v>51513</v>
      </c>
      <c r="K95" s="74">
        <f t="shared" si="36"/>
        <v>51513</v>
      </c>
      <c r="L95" s="74">
        <f t="shared" ref="L95:O95" si="39">K95</f>
        <v>51513</v>
      </c>
      <c r="M95" s="74">
        <f t="shared" si="39"/>
        <v>51513</v>
      </c>
      <c r="N95" s="74">
        <f t="shared" si="39"/>
        <v>51513</v>
      </c>
      <c r="O95" s="74">
        <f t="shared" si="39"/>
        <v>51513</v>
      </c>
    </row>
    <row r="96" spans="2:15" ht="15" hidden="1" outlineLevel="1">
      <c r="B96" s="79" t="s">
        <v>216</v>
      </c>
      <c r="G96" s="83">
        <f>'Imput Historical'!G192</f>
        <v>477601</v>
      </c>
      <c r="H96" s="83">
        <f>'Imput Historical'!H192</f>
        <v>554832</v>
      </c>
      <c r="I96" s="83">
        <f>'Imput Historical'!I192</f>
        <v>1402343</v>
      </c>
      <c r="J96" s="83">
        <f>'Imput Historical'!J192</f>
        <v>2803982</v>
      </c>
      <c r="K96" s="74">
        <f>K168-K175</f>
        <v>2454077</v>
      </c>
      <c r="L96" s="74">
        <f>L168-L175</f>
        <v>2104077</v>
      </c>
      <c r="M96" s="74">
        <f>M168-M175</f>
        <v>1754077</v>
      </c>
      <c r="N96" s="74">
        <f>N168-N175</f>
        <v>1404077</v>
      </c>
      <c r="O96" s="74">
        <f>O168-O175</f>
        <v>1054077</v>
      </c>
    </row>
    <row r="97" spans="2:15" ht="15" hidden="1" outlineLevel="1">
      <c r="B97" s="79" t="s">
        <v>118</v>
      </c>
      <c r="G97" s="83">
        <f>'Imput Historical'!G193</f>
        <v>12251</v>
      </c>
      <c r="H97" s="83">
        <f>'Imput Historical'!H193</f>
        <v>5703</v>
      </c>
      <c r="I97" s="83">
        <f>'Imput Historical'!I193</f>
        <v>15968</v>
      </c>
      <c r="J97" s="83">
        <f>'Imput Historical'!J193</f>
        <v>16226</v>
      </c>
      <c r="K97" s="74">
        <f t="shared" si="36"/>
        <v>16226</v>
      </c>
      <c r="L97" s="74">
        <f t="shared" ref="L97:O97" si="40">K97</f>
        <v>16226</v>
      </c>
      <c r="M97" s="74">
        <f t="shared" si="40"/>
        <v>16226</v>
      </c>
      <c r="N97" s="74">
        <f t="shared" si="40"/>
        <v>16226</v>
      </c>
      <c r="O97" s="74">
        <f t="shared" si="40"/>
        <v>16226</v>
      </c>
    </row>
    <row r="98" spans="2:15" ht="15" hidden="1" outlineLevel="1">
      <c r="B98" s="79" t="s">
        <v>217</v>
      </c>
      <c r="G98" s="83">
        <f>'Imput Historical'!G194</f>
        <v>0</v>
      </c>
      <c r="H98" s="83">
        <f>'Imput Historical'!H194</f>
        <v>0</v>
      </c>
      <c r="I98" s="83">
        <f>'Imput Historical'!I194</f>
        <v>0</v>
      </c>
      <c r="J98" s="83">
        <f>'Imput Historical'!J194</f>
        <v>13964</v>
      </c>
      <c r="K98" s="74">
        <f t="shared" si="36"/>
        <v>13964</v>
      </c>
      <c r="L98" s="74">
        <f t="shared" ref="L98:O98" si="41">K98</f>
        <v>13964</v>
      </c>
      <c r="M98" s="74">
        <f t="shared" si="41"/>
        <v>13964</v>
      </c>
      <c r="N98" s="74">
        <f t="shared" si="41"/>
        <v>13964</v>
      </c>
      <c r="O98" s="74">
        <f t="shared" si="41"/>
        <v>13964</v>
      </c>
    </row>
    <row r="99" spans="2:15" ht="15" hidden="1" outlineLevel="1">
      <c r="B99" s="79" t="s">
        <v>218</v>
      </c>
      <c r="G99" s="83">
        <f>'Imput Historical'!G195</f>
        <v>0</v>
      </c>
      <c r="H99" s="83">
        <f>'Imput Historical'!H195</f>
        <v>0</v>
      </c>
      <c r="I99" s="83">
        <f>'Imput Historical'!I195</f>
        <v>0</v>
      </c>
      <c r="J99" s="83">
        <f>'Imput Historical'!J195</f>
        <v>292236</v>
      </c>
      <c r="K99" s="74">
        <f t="shared" si="36"/>
        <v>292236</v>
      </c>
      <c r="L99" s="74">
        <f t="shared" ref="L99:O99" si="42">K99</f>
        <v>292236</v>
      </c>
      <c r="M99" s="74">
        <f t="shared" si="42"/>
        <v>292236</v>
      </c>
      <c r="N99" s="74">
        <f t="shared" si="42"/>
        <v>292236</v>
      </c>
      <c r="O99" s="74">
        <f t="shared" si="42"/>
        <v>292236</v>
      </c>
    </row>
    <row r="100" spans="2:15" collapsed="1"/>
    <row r="101" spans="2:15" ht="15">
      <c r="B101" s="79" t="s">
        <v>205</v>
      </c>
      <c r="G101" s="77">
        <f>SUM(G93:G99)</f>
        <v>785575</v>
      </c>
      <c r="H101" s="77">
        <f t="shared" ref="H101:J101" si="43">SUM(H93:H99)</f>
        <v>991602</v>
      </c>
      <c r="I101" s="77">
        <f t="shared" si="43"/>
        <v>1553405</v>
      </c>
      <c r="J101" s="77">
        <f t="shared" si="43"/>
        <v>3565036</v>
      </c>
      <c r="K101" s="77">
        <f>SUM(K93:K99)</f>
        <v>3215131</v>
      </c>
      <c r="L101" s="77">
        <f t="shared" ref="L101:O101" si="44">SUM(L93:L99)</f>
        <v>2865131</v>
      </c>
      <c r="M101" s="77">
        <f t="shared" si="44"/>
        <v>2515131</v>
      </c>
      <c r="N101" s="77">
        <f t="shared" si="44"/>
        <v>2165131</v>
      </c>
      <c r="O101" s="77">
        <f t="shared" si="44"/>
        <v>1815131</v>
      </c>
    </row>
    <row r="103" spans="2:15" ht="15">
      <c r="B103" s="79" t="s">
        <v>206</v>
      </c>
    </row>
    <row r="105" spans="2:15" hidden="1" outlineLevel="1">
      <c r="B105" s="78" t="s">
        <v>219</v>
      </c>
      <c r="G105" s="83">
        <f>'Imput Historical'!G201</f>
        <v>2848</v>
      </c>
      <c r="H105" s="83">
        <f>'Imput Historical'!H201</f>
        <v>4133</v>
      </c>
      <c r="I105" s="83">
        <f>'Imput Historical'!I201</f>
        <v>3910</v>
      </c>
      <c r="J105" s="83">
        <f>'Imput Historical'!J201</f>
        <v>10800</v>
      </c>
      <c r="K105" s="74">
        <f>J105</f>
        <v>10800</v>
      </c>
      <c r="L105" s="74">
        <f t="shared" ref="L105:O105" si="45">K105</f>
        <v>10800</v>
      </c>
      <c r="M105" s="74">
        <f t="shared" si="45"/>
        <v>10800</v>
      </c>
      <c r="N105" s="74">
        <f t="shared" si="45"/>
        <v>10800</v>
      </c>
      <c r="O105" s="74">
        <f t="shared" si="45"/>
        <v>10800</v>
      </c>
    </row>
    <row r="106" spans="2:15" hidden="1" outlineLevel="1">
      <c r="B106" s="78" t="s">
        <v>220</v>
      </c>
      <c r="G106" s="83">
        <f>'Imput Historical'!G202</f>
        <v>8550</v>
      </c>
      <c r="H106" s="83">
        <f>'Imput Historical'!H202</f>
        <v>34868</v>
      </c>
      <c r="I106" s="83">
        <f>'Imput Historical'!I202</f>
        <v>58022</v>
      </c>
      <c r="J106" s="83">
        <f>'Imput Historical'!J202</f>
        <v>55452</v>
      </c>
      <c r="K106" s="74">
        <f>J106</f>
        <v>55452</v>
      </c>
      <c r="L106" s="74">
        <f t="shared" ref="L106:O106" si="46">K106</f>
        <v>55452</v>
      </c>
      <c r="M106" s="74">
        <f t="shared" si="46"/>
        <v>55452</v>
      </c>
      <c r="N106" s="74">
        <f t="shared" si="46"/>
        <v>55452</v>
      </c>
      <c r="O106" s="74">
        <f t="shared" si="46"/>
        <v>55452</v>
      </c>
    </row>
    <row r="107" spans="2:15" hidden="1" outlineLevel="1">
      <c r="B107" s="78" t="s">
        <v>221</v>
      </c>
      <c r="G107" s="83">
        <f>'Imput Historical'!G203</f>
        <v>71731</v>
      </c>
      <c r="H107" s="83">
        <f>'Imput Historical'!H203</f>
        <v>61223</v>
      </c>
      <c r="I107" s="83">
        <f>'Imput Historical'!I203</f>
        <v>46224</v>
      </c>
      <c r="J107" s="83">
        <f>'Imput Historical'!J203</f>
        <v>350095</v>
      </c>
      <c r="K107" s="74">
        <f>K175+K180</f>
        <v>350000</v>
      </c>
      <c r="L107" s="74">
        <f>L175+L180</f>
        <v>350000</v>
      </c>
      <c r="M107" s="74">
        <f>M175+M180</f>
        <v>350000</v>
      </c>
      <c r="N107" s="74">
        <f>N175+N180</f>
        <v>350000</v>
      </c>
      <c r="O107" s="74">
        <f>O175+O180</f>
        <v>350000</v>
      </c>
    </row>
    <row r="108" spans="2:15" hidden="1" outlineLevel="1">
      <c r="B108" s="78" t="s">
        <v>141</v>
      </c>
      <c r="G108" s="83">
        <f>'Imput Historical'!G204</f>
        <v>25120</v>
      </c>
      <c r="H108" s="83">
        <f>'Imput Historical'!H204</f>
        <v>17555</v>
      </c>
      <c r="I108" s="83">
        <f>'Imput Historical'!I204</f>
        <v>32656</v>
      </c>
      <c r="J108" s="83">
        <f>'Imput Historical'!J204</f>
        <v>35891</v>
      </c>
      <c r="K108" s="74">
        <f>K7*($J$108/$J$7)</f>
        <v>51442.012463343104</v>
      </c>
      <c r="L108" s="74">
        <f t="shared" ref="L108:O108" si="47">L7*($J$108/$J$7)</f>
        <v>55581.58146627566</v>
      </c>
      <c r="M108" s="74">
        <f t="shared" si="47"/>
        <v>59648.52645161291</v>
      </c>
      <c r="N108" s="74">
        <f t="shared" si="47"/>
        <v>62809.898353548408</v>
      </c>
      <c r="O108" s="74">
        <f t="shared" si="47"/>
        <v>64017.78101419357</v>
      </c>
    </row>
    <row r="109" spans="2:15" hidden="1" outlineLevel="1">
      <c r="B109" s="78" t="s">
        <v>222</v>
      </c>
      <c r="G109" s="83">
        <f>'Imput Historical'!G205</f>
        <v>58770</v>
      </c>
      <c r="H109" s="83">
        <f>'Imput Historical'!H205</f>
        <v>3</v>
      </c>
      <c r="I109" s="83">
        <f>'Imput Historical'!I205</f>
        <v>382041</v>
      </c>
      <c r="J109" s="83">
        <f>'Imput Historical'!J205</f>
        <v>120910</v>
      </c>
      <c r="K109" s="74">
        <f>K7*($J$109/$J$7)</f>
        <v>173298.42375366567</v>
      </c>
      <c r="L109" s="74">
        <f t="shared" ref="L109:O109" si="48">L7*($J$109/$J$7)</f>
        <v>187243.84985337243</v>
      </c>
      <c r="M109" s="74">
        <f t="shared" si="48"/>
        <v>200944.61935483874</v>
      </c>
      <c r="N109" s="74">
        <f t="shared" si="48"/>
        <v>211594.68418064521</v>
      </c>
      <c r="O109" s="74">
        <f t="shared" si="48"/>
        <v>215663.81272258071</v>
      </c>
    </row>
    <row r="110" spans="2:15" hidden="1" outlineLevel="1">
      <c r="B110" s="78" t="s">
        <v>142</v>
      </c>
      <c r="G110" s="83">
        <f>'Imput Historical'!G206</f>
        <v>20312</v>
      </c>
      <c r="H110" s="83">
        <f>'Imput Historical'!H206</f>
        <v>36549</v>
      </c>
      <c r="I110" s="83">
        <f>'Imput Historical'!I206</f>
        <v>47715</v>
      </c>
      <c r="J110" s="83">
        <f>'Imput Historical'!J206</f>
        <v>43945</v>
      </c>
      <c r="K110" s="74">
        <f>K7*($J$110/$J$7)</f>
        <v>62985.68548387097</v>
      </c>
      <c r="L110" s="74">
        <f t="shared" ref="L110:O110" si="49">L7*($J$110/$J$7)</f>
        <v>68054.180645161294</v>
      </c>
      <c r="M110" s="74">
        <f t="shared" si="49"/>
        <v>73033.75483870969</v>
      </c>
      <c r="N110" s="74">
        <f t="shared" si="49"/>
        <v>76904.543845161315</v>
      </c>
      <c r="O110" s="74">
        <f t="shared" si="49"/>
        <v>78383.477380645199</v>
      </c>
    </row>
    <row r="111" spans="2:15" hidden="1" outlineLevel="1">
      <c r="B111" s="78" t="s">
        <v>223</v>
      </c>
      <c r="G111" s="83">
        <f>'Imput Historical'!G207</f>
        <v>221013</v>
      </c>
      <c r="H111" s="83">
        <f>'Imput Historical'!H207</f>
        <v>205055</v>
      </c>
      <c r="I111" s="83">
        <f>'Imput Historical'!I207</f>
        <v>487186</v>
      </c>
      <c r="J111" s="83">
        <f>'Imput Historical'!J207</f>
        <v>419130</v>
      </c>
      <c r="K111" s="74">
        <f>K7*($J$111/$J$7)</f>
        <v>600732.51466275658</v>
      </c>
      <c r="L111" s="74">
        <f t="shared" ref="L111:O111" si="50">L7*($J$111/$J$7)</f>
        <v>649073.81348973606</v>
      </c>
      <c r="M111" s="74">
        <f t="shared" si="50"/>
        <v>696567.01935483876</v>
      </c>
      <c r="N111" s="74">
        <f t="shared" si="50"/>
        <v>733485.07138064539</v>
      </c>
      <c r="O111" s="74">
        <f t="shared" si="50"/>
        <v>747590.55352258089</v>
      </c>
    </row>
    <row r="112" spans="2:15" collapsed="1"/>
    <row r="113" spans="2:15" ht="15">
      <c r="B113" s="79" t="s">
        <v>207</v>
      </c>
      <c r="G113" s="77">
        <f>SUM(G105:G111)</f>
        <v>408344</v>
      </c>
      <c r="H113" s="77">
        <f t="shared" ref="H113:J113" si="51">SUM(H105:H111)</f>
        <v>359386</v>
      </c>
      <c r="I113" s="77">
        <f t="shared" si="51"/>
        <v>1057754</v>
      </c>
      <c r="J113" s="77">
        <f t="shared" si="51"/>
        <v>1036223</v>
      </c>
      <c r="K113" s="77">
        <f>SUM(K105:K111)</f>
        <v>1304710.6363636362</v>
      </c>
      <c r="L113" s="77">
        <f t="shared" ref="L113:O113" si="52">SUM(L105:L111)</f>
        <v>1376205.4254545455</v>
      </c>
      <c r="M113" s="77">
        <f t="shared" si="52"/>
        <v>1446445.9200000002</v>
      </c>
      <c r="N113" s="77">
        <f t="shared" si="52"/>
        <v>1501046.1977600004</v>
      </c>
      <c r="O113" s="77">
        <f t="shared" si="52"/>
        <v>1521907.6246400005</v>
      </c>
    </row>
    <row r="114" spans="2:15" ht="15">
      <c r="B114" s="79" t="s">
        <v>208</v>
      </c>
      <c r="G114" s="77">
        <f>G101+G113</f>
        <v>1193919</v>
      </c>
      <c r="H114" s="77">
        <f t="shared" ref="H114:J114" si="53">H101+H113</f>
        <v>1350988</v>
      </c>
      <c r="I114" s="77">
        <f t="shared" si="53"/>
        <v>2611159</v>
      </c>
      <c r="J114" s="77">
        <f t="shared" si="53"/>
        <v>4601259</v>
      </c>
      <c r="K114" s="77">
        <f>K101+K113</f>
        <v>4519841.6363636367</v>
      </c>
      <c r="L114" s="77">
        <f t="shared" ref="L114:O114" si="54">L101+L113</f>
        <v>4241336.4254545458</v>
      </c>
      <c r="M114" s="77">
        <f t="shared" si="54"/>
        <v>3961576.92</v>
      </c>
      <c r="N114" s="77">
        <f t="shared" si="54"/>
        <v>3666177.1977600004</v>
      </c>
      <c r="O114" s="77">
        <f t="shared" si="54"/>
        <v>3337038.6246400005</v>
      </c>
    </row>
    <row r="115" spans="2:15" ht="15">
      <c r="B115" s="79" t="s">
        <v>209</v>
      </c>
      <c r="G115" s="77">
        <f>G88+G114</f>
        <v>2037979</v>
      </c>
      <c r="H115" s="77">
        <f t="shared" ref="H115:J115" si="55">H88+H114</f>
        <v>2598003</v>
      </c>
      <c r="I115" s="77">
        <f t="shared" si="55"/>
        <v>4232372</v>
      </c>
      <c r="J115" s="77">
        <f t="shared" si="55"/>
        <v>7112853</v>
      </c>
      <c r="K115" s="77">
        <f>K88+K114</f>
        <v>7905180.3240657989</v>
      </c>
      <c r="L115" s="77">
        <f t="shared" ref="L115:O115" si="56">L88+L114</f>
        <v>8575155.1992976461</v>
      </c>
      <c r="M115" s="77">
        <f t="shared" si="56"/>
        <v>9329066.503742855</v>
      </c>
      <c r="N115" s="77">
        <f t="shared" si="56"/>
        <v>10138491.686094614</v>
      </c>
      <c r="O115" s="77">
        <f t="shared" si="56"/>
        <v>10938277.44272151</v>
      </c>
    </row>
    <row r="117" spans="2:15" ht="15">
      <c r="B117" s="86" t="s">
        <v>224</v>
      </c>
      <c r="G117" s="87">
        <f>G75-G115</f>
        <v>0</v>
      </c>
      <c r="H117" s="87">
        <f t="shared" ref="H117:J117" si="57">H75-H115</f>
        <v>0</v>
      </c>
      <c r="I117" s="87">
        <f t="shared" si="57"/>
        <v>0</v>
      </c>
      <c r="J117" s="87">
        <f t="shared" si="57"/>
        <v>0</v>
      </c>
      <c r="K117" s="87">
        <f>K75-K115</f>
        <v>0</v>
      </c>
      <c r="L117" s="87">
        <f t="shared" ref="L117:O117" si="58">L75-L115</f>
        <v>0</v>
      </c>
      <c r="M117" s="87">
        <f t="shared" si="58"/>
        <v>0</v>
      </c>
      <c r="N117" s="87">
        <f t="shared" si="58"/>
        <v>0</v>
      </c>
      <c r="O117" s="87">
        <f t="shared" si="58"/>
        <v>0</v>
      </c>
    </row>
    <row r="120" spans="2:15" ht="15">
      <c r="B120" s="81" t="s">
        <v>29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2" spans="2:15" ht="15">
      <c r="B122" s="82" t="s">
        <v>76</v>
      </c>
      <c r="G122" s="79" t="s">
        <v>57</v>
      </c>
      <c r="H122" s="79" t="s">
        <v>58</v>
      </c>
      <c r="I122" s="79" t="s">
        <v>59</v>
      </c>
      <c r="J122" s="79" t="s">
        <v>60</v>
      </c>
      <c r="K122" s="79" t="s">
        <v>61</v>
      </c>
      <c r="L122" s="79" t="s">
        <v>62</v>
      </c>
      <c r="M122" s="79" t="s">
        <v>63</v>
      </c>
      <c r="N122" s="79" t="s">
        <v>64</v>
      </c>
      <c r="O122" s="79" t="s">
        <v>65</v>
      </c>
    </row>
    <row r="124" spans="2:15" ht="15">
      <c r="B124" s="79" t="s">
        <v>107</v>
      </c>
    </row>
    <row r="125" spans="2:15" hidden="1" outlineLevel="1">
      <c r="B125" s="78" t="s">
        <v>225</v>
      </c>
      <c r="G125" s="83">
        <f>G42</f>
        <v>269535</v>
      </c>
      <c r="H125" s="83">
        <f t="shared" ref="H125:J125" si="59">H42</f>
        <v>396955</v>
      </c>
      <c r="I125" s="83">
        <f t="shared" si="59"/>
        <v>477521</v>
      </c>
      <c r="J125" s="83">
        <f t="shared" si="59"/>
        <v>719063</v>
      </c>
      <c r="K125" s="74">
        <f>K42</f>
        <v>873744.68770216266</v>
      </c>
      <c r="L125" s="74">
        <f t="shared" ref="L125:O125" si="60">L42</f>
        <v>948480.08614093717</v>
      </c>
      <c r="M125" s="74">
        <f t="shared" si="60"/>
        <v>1033670.8098997563</v>
      </c>
      <c r="N125" s="74">
        <f t="shared" si="60"/>
        <v>1104824.9045917576</v>
      </c>
      <c r="O125" s="74">
        <f t="shared" si="60"/>
        <v>1128924.3297468952</v>
      </c>
    </row>
    <row r="126" spans="2:15" hidden="1" outlineLevel="1">
      <c r="B126" s="78" t="s">
        <v>226</v>
      </c>
      <c r="G126" s="83">
        <f>-G14</f>
        <v>234862</v>
      </c>
      <c r="H126" s="83">
        <f t="shared" ref="H126:J126" si="61">-H14</f>
        <v>276430</v>
      </c>
      <c r="I126" s="83">
        <f t="shared" si="61"/>
        <v>437699</v>
      </c>
      <c r="J126" s="83">
        <f t="shared" si="61"/>
        <v>738903</v>
      </c>
      <c r="K126" s="74">
        <f>-K14</f>
        <v>848265.42937499983</v>
      </c>
      <c r="L126" s="74">
        <f t="shared" ref="L126:O126" si="62">-L14</f>
        <v>950057.28090000001</v>
      </c>
      <c r="M126" s="74">
        <f t="shared" si="62"/>
        <v>1045063.00899</v>
      </c>
      <c r="N126" s="74">
        <f t="shared" si="62"/>
        <v>1128668.0497092004</v>
      </c>
      <c r="O126" s="74">
        <f t="shared" si="62"/>
        <v>1196388.1326917524</v>
      </c>
    </row>
    <row r="127" spans="2:15" hidden="1" outlineLevel="1">
      <c r="B127" s="78" t="s">
        <v>227</v>
      </c>
      <c r="G127" s="83">
        <f>-G15</f>
        <v>0</v>
      </c>
      <c r="H127" s="83">
        <f t="shared" ref="H127:J127" si="63">-H15</f>
        <v>27539</v>
      </c>
      <c r="I127" s="83">
        <f t="shared" si="63"/>
        <v>33570</v>
      </c>
      <c r="J127" s="83">
        <f t="shared" si="63"/>
        <v>29016</v>
      </c>
      <c r="K127" s="74">
        <f>-K15</f>
        <v>0</v>
      </c>
      <c r="L127" s="74">
        <f t="shared" ref="L127:O127" si="64">-L15</f>
        <v>0</v>
      </c>
      <c r="M127" s="74">
        <f t="shared" si="64"/>
        <v>0</v>
      </c>
      <c r="N127" s="74">
        <f t="shared" si="64"/>
        <v>0</v>
      </c>
      <c r="O127" s="74">
        <f t="shared" si="64"/>
        <v>0</v>
      </c>
    </row>
    <row r="128" spans="2:15" hidden="1" outlineLevel="1">
      <c r="B128" s="78" t="s">
        <v>228</v>
      </c>
      <c r="G128" s="83">
        <f>G130-G125-G126-G127</f>
        <v>185374</v>
      </c>
      <c r="H128" s="83">
        <f t="shared" ref="H128:J128" si="65">H130-H125-H126-H127</f>
        <v>11109</v>
      </c>
      <c r="I128" s="83">
        <f t="shared" si="65"/>
        <v>10236</v>
      </c>
      <c r="J128" s="83">
        <f t="shared" si="65"/>
        <v>-690791</v>
      </c>
      <c r="K128" s="74">
        <f>-(K63-J63)-(K70-J70)-(K71-J71)+(K108-J108)+(K109-J109)+(K110-J110)+(K111-J111)</f>
        <v>-47786.076246334327</v>
      </c>
      <c r="L128" s="74">
        <f>-(L63-K63)-(L70-K70)-(L71-K71)+(L108-K108)+(L109-K109)+(L110-K110)+(L111-K111)</f>
        <v>-12720.313900293302</v>
      </c>
      <c r="M128" s="74">
        <f>-(M63-L63)-(M70-L70)-(M71-L71)+(M108-L108)+(M109-L109)+(M110-L110)+(M111-L111)</f>
        <v>-12497.150498533869</v>
      </c>
      <c r="N128" s="74">
        <f>-(N63-M63)-(N70-M70)-(N71-M71)+(N108-M108)+(N109-M109)+(N110-M110)+(N111-M111)</f>
        <v>-9714.4516541934354</v>
      </c>
      <c r="O128" s="74">
        <f>-(O63-N63)-(O70-N70)-(O71-N71)+(O108-N108)+(O109-N109)+(O110-N110)+(O111-N111)</f>
        <v>-3711.6536980644923</v>
      </c>
    </row>
    <row r="129" spans="2:15" collapsed="1"/>
    <row r="130" spans="2:15" ht="15">
      <c r="B130" s="79" t="s">
        <v>229</v>
      </c>
      <c r="G130" s="84">
        <f>'Imput Historical'!G106</f>
        <v>689771</v>
      </c>
      <c r="H130" s="84">
        <f>'Imput Historical'!H106</f>
        <v>712033</v>
      </c>
      <c r="I130" s="84">
        <f>'Imput Historical'!I106</f>
        <v>959026</v>
      </c>
      <c r="J130" s="84">
        <f>'Imput Historical'!J106</f>
        <v>796191</v>
      </c>
      <c r="K130" s="77">
        <f>SUM(K125:K128)</f>
        <v>1674224.0408308282</v>
      </c>
      <c r="L130" s="77">
        <f t="shared" ref="L130:O130" si="66">SUM(L125:L128)</f>
        <v>1885817.053140644</v>
      </c>
      <c r="M130" s="77">
        <f t="shared" si="66"/>
        <v>2066236.6683912224</v>
      </c>
      <c r="N130" s="77">
        <f t="shared" si="66"/>
        <v>2223778.5026467643</v>
      </c>
      <c r="O130" s="77">
        <f t="shared" si="66"/>
        <v>2321600.8087405832</v>
      </c>
    </row>
    <row r="132" spans="2:15" ht="15">
      <c r="B132" s="79" t="s">
        <v>146</v>
      </c>
    </row>
    <row r="133" spans="2:15" hidden="1" outlineLevel="1">
      <c r="B133" s="78" t="s">
        <v>230</v>
      </c>
      <c r="G133" s="83">
        <f>'Imput Historical'!G109</f>
        <v>-479025</v>
      </c>
      <c r="H133" s="83">
        <f>'Imput Historical'!H109</f>
        <v>-688437</v>
      </c>
      <c r="I133" s="83">
        <f>'Imput Historical'!I109</f>
        <v>-1052530</v>
      </c>
      <c r="J133" s="83">
        <f>'Imput Historical'!J109</f>
        <v>-1455411</v>
      </c>
      <c r="K133" s="74">
        <f>-'Imputs Drivers'!G26*1000</f>
        <v>-1550000</v>
      </c>
      <c r="L133" s="74">
        <f>-'Imputs Drivers'!H26*1000</f>
        <v>-1500000</v>
      </c>
      <c r="M133" s="74">
        <f>-'Imputs Drivers'!I26*1000</f>
        <v>-1400000</v>
      </c>
      <c r="N133" s="74">
        <f>-'Imputs Drivers'!J26*1000</f>
        <v>-1300000</v>
      </c>
      <c r="O133" s="74">
        <f>-'Imputs Drivers'!K26*1000</f>
        <v>-1200000</v>
      </c>
    </row>
    <row r="134" spans="2:15" ht="15" hidden="1" outlineLevel="1">
      <c r="B134" s="79" t="s">
        <v>231</v>
      </c>
      <c r="G134" s="83">
        <f>G136-G133</f>
        <v>-103687</v>
      </c>
      <c r="H134" s="83">
        <f t="shared" ref="H134:J134" si="67">H136-H133</f>
        <v>-10876</v>
      </c>
      <c r="I134" s="83">
        <f t="shared" si="67"/>
        <v>654</v>
      </c>
      <c r="J134" s="83">
        <f t="shared" si="67"/>
        <v>-893653</v>
      </c>
      <c r="K134" s="74">
        <v>0</v>
      </c>
      <c r="L134" s="74">
        <v>0</v>
      </c>
      <c r="M134" s="74">
        <v>0</v>
      </c>
      <c r="N134" s="74">
        <v>0</v>
      </c>
      <c r="O134" s="74">
        <v>0</v>
      </c>
    </row>
    <row r="135" spans="2:15" collapsed="1"/>
    <row r="136" spans="2:15" ht="15">
      <c r="B136" s="79" t="s">
        <v>232</v>
      </c>
      <c r="G136" s="84">
        <f>'Imput Historical'!G119</f>
        <v>-582712</v>
      </c>
      <c r="H136" s="84">
        <f>'Imput Historical'!H119</f>
        <v>-699313</v>
      </c>
      <c r="I136" s="84">
        <f>'Imput Historical'!I119</f>
        <v>-1051876</v>
      </c>
      <c r="J136" s="84">
        <f>'Imput Historical'!J119</f>
        <v>-2349064</v>
      </c>
      <c r="K136" s="77">
        <f>K133+K134</f>
        <v>-1550000</v>
      </c>
      <c r="L136" s="77">
        <f t="shared" ref="L136:O136" si="68">L133+L134</f>
        <v>-1500000</v>
      </c>
      <c r="M136" s="77">
        <f t="shared" si="68"/>
        <v>-1400000</v>
      </c>
      <c r="N136" s="77">
        <f t="shared" si="68"/>
        <v>-1300000</v>
      </c>
      <c r="O136" s="77">
        <f t="shared" si="68"/>
        <v>-1200000</v>
      </c>
    </row>
    <row r="138" spans="2:15" ht="15">
      <c r="B138" s="79" t="s">
        <v>157</v>
      </c>
    </row>
    <row r="139" spans="2:15" hidden="1" outlineLevel="1">
      <c r="B139" s="78" t="s">
        <v>158</v>
      </c>
      <c r="G139" s="83">
        <f>'Imput Historical'!G122</f>
        <v>128788</v>
      </c>
      <c r="H139" s="83">
        <f>'Imput Historical'!H122</f>
        <v>318169</v>
      </c>
      <c r="I139" s="83">
        <f>'Imput Historical'!I122</f>
        <v>1320897</v>
      </c>
      <c r="J139" s="83">
        <f>'Imput Historical'!J122</f>
        <v>2838173</v>
      </c>
      <c r="K139" s="74">
        <f>K167</f>
        <v>0</v>
      </c>
      <c r="L139" s="74">
        <f>L167</f>
        <v>0</v>
      </c>
      <c r="M139" s="74">
        <f>M167</f>
        <v>0</v>
      </c>
      <c r="N139" s="74">
        <f>N167</f>
        <v>0</v>
      </c>
      <c r="O139" s="74">
        <f>O167</f>
        <v>0</v>
      </c>
    </row>
    <row r="140" spans="2:15" ht="15" hidden="1" outlineLevel="1">
      <c r="B140" s="79" t="s">
        <v>233</v>
      </c>
      <c r="G140" s="83">
        <f>'Imput Historical'!G123</f>
        <v>-195091</v>
      </c>
      <c r="H140" s="83">
        <f>'Imput Historical'!H123</f>
        <v>-211499</v>
      </c>
      <c r="I140" s="83">
        <f>'Imput Historical'!I123</f>
        <v>-470351</v>
      </c>
      <c r="J140" s="83">
        <f>'Imput Historical'!J123</f>
        <v>-1173623</v>
      </c>
      <c r="K140" s="74">
        <f>K166</f>
        <v>-350000</v>
      </c>
      <c r="L140" s="74">
        <f>L166</f>
        <v>-350000</v>
      </c>
      <c r="M140" s="74">
        <f>M166</f>
        <v>-350000</v>
      </c>
      <c r="N140" s="74">
        <f>N166</f>
        <v>-350000</v>
      </c>
      <c r="O140" s="74">
        <f>O166</f>
        <v>-350000</v>
      </c>
    </row>
    <row r="141" spans="2:15" hidden="1" outlineLevel="1">
      <c r="B141" s="78" t="s">
        <v>332</v>
      </c>
      <c r="G141" s="83">
        <f>'Imput Historical'!G124</f>
        <v>-34430</v>
      </c>
      <c r="H141" s="83">
        <f>'Imput Historical'!H124</f>
        <v>-22993</v>
      </c>
      <c r="I141" s="83">
        <f>'Imput Historical'!I124</f>
        <v>-53897</v>
      </c>
      <c r="J141" s="83">
        <f>'Imput Historical'!J124</f>
        <v>-148310</v>
      </c>
      <c r="K141" s="74">
        <v>0</v>
      </c>
      <c r="L141" s="74">
        <v>0</v>
      </c>
      <c r="M141" s="74">
        <v>0</v>
      </c>
      <c r="N141" s="74">
        <v>0</v>
      </c>
      <c r="O141" s="74">
        <v>0</v>
      </c>
    </row>
    <row r="142" spans="2:15" ht="15" hidden="1" outlineLevel="1">
      <c r="B142" s="79" t="s">
        <v>234</v>
      </c>
      <c r="G142" s="83">
        <f>G144-G139-G140-G141</f>
        <v>-42468</v>
      </c>
      <c r="H142" s="83">
        <f t="shared" ref="H142:J142" si="69">H144-H139-H140-H141</f>
        <v>-64121</v>
      </c>
      <c r="I142" s="83">
        <f t="shared" si="69"/>
        <v>-155438</v>
      </c>
      <c r="J142" s="83">
        <f t="shared" si="69"/>
        <v>-188700</v>
      </c>
      <c r="K142" s="74">
        <f>K179</f>
        <v>0</v>
      </c>
      <c r="L142" s="74">
        <f>L179</f>
        <v>0</v>
      </c>
      <c r="M142" s="74">
        <f>M179</f>
        <v>0</v>
      </c>
      <c r="N142" s="74">
        <f>N179</f>
        <v>0</v>
      </c>
      <c r="O142" s="74">
        <f>O179</f>
        <v>0</v>
      </c>
    </row>
    <row r="143" spans="2:15" collapsed="1"/>
    <row r="144" spans="2:15" ht="15">
      <c r="B144" s="79" t="s">
        <v>235</v>
      </c>
      <c r="G144" s="84">
        <f>'Imput Historical'!G131</f>
        <v>-143201</v>
      </c>
      <c r="H144" s="84">
        <f>'Imput Historical'!H131</f>
        <v>19556</v>
      </c>
      <c r="I144" s="84">
        <f>'Imput Historical'!I131</f>
        <v>641211</v>
      </c>
      <c r="J144" s="84">
        <f>'Imput Historical'!J131</f>
        <v>1327540</v>
      </c>
      <c r="K144" s="77">
        <f>SUM(K139:K142)</f>
        <v>-350000</v>
      </c>
      <c r="L144" s="77">
        <f t="shared" ref="L144:O144" si="70">SUM(L139:L142)</f>
        <v>-350000</v>
      </c>
      <c r="M144" s="77">
        <f t="shared" si="70"/>
        <v>-350000</v>
      </c>
      <c r="N144" s="77">
        <f t="shared" si="70"/>
        <v>-350000</v>
      </c>
      <c r="O144" s="77">
        <f t="shared" si="70"/>
        <v>-350000</v>
      </c>
    </row>
    <row r="146" spans="2:15" ht="15">
      <c r="B146" s="79" t="s">
        <v>236</v>
      </c>
      <c r="G146" s="77">
        <f>G130+G136+G144</f>
        <v>-36142</v>
      </c>
      <c r="H146" s="77">
        <f t="shared" ref="H146:J146" si="71">H130+H136+H144</f>
        <v>32276</v>
      </c>
      <c r="I146" s="77">
        <f t="shared" si="71"/>
        <v>548361</v>
      </c>
      <c r="J146" s="77">
        <f t="shared" si="71"/>
        <v>-225333</v>
      </c>
      <c r="K146" s="77">
        <f>K130+K136+K144</f>
        <v>-225775.95916917175</v>
      </c>
      <c r="L146" s="77">
        <f t="shared" ref="L146:O146" si="72">L130+L136+L144</f>
        <v>35817.053140643984</v>
      </c>
      <c r="M146" s="77">
        <f t="shared" si="72"/>
        <v>316236.66839122237</v>
      </c>
      <c r="N146" s="77">
        <f t="shared" si="72"/>
        <v>573778.50264676427</v>
      </c>
      <c r="O146" s="77">
        <f t="shared" si="72"/>
        <v>771600.80874058325</v>
      </c>
    </row>
    <row r="147" spans="2:15">
      <c r="B147" s="78" t="s">
        <v>237</v>
      </c>
      <c r="G147" s="83">
        <f>'Imput Historical'!G134</f>
        <v>311217</v>
      </c>
      <c r="H147" s="83">
        <f>'Imput Historical'!H134</f>
        <v>241956</v>
      </c>
      <c r="I147" s="83">
        <f>'Imput Historical'!I134</f>
        <v>209516</v>
      </c>
      <c r="J147" s="83">
        <f>'Imput Historical'!J134</f>
        <v>755610</v>
      </c>
      <c r="K147" s="74">
        <f>J72</f>
        <v>538402</v>
      </c>
      <c r="L147" s="74">
        <f t="shared" ref="L147:O147" si="73">K72</f>
        <v>312626.04083082825</v>
      </c>
      <c r="M147" s="74">
        <f t="shared" si="73"/>
        <v>348443.09397147223</v>
      </c>
      <c r="N147" s="74">
        <f t="shared" si="73"/>
        <v>664679.7623626946</v>
      </c>
      <c r="O147" s="74">
        <f t="shared" si="73"/>
        <v>1238458.2650094589</v>
      </c>
    </row>
    <row r="148" spans="2:15" ht="15">
      <c r="B148" s="79" t="s">
        <v>238</v>
      </c>
      <c r="G148" s="83">
        <f>'Imput Historical'!G135</f>
        <v>-33119</v>
      </c>
      <c r="H148" s="83">
        <f>'Imput Historical'!H135</f>
        <v>-64716</v>
      </c>
      <c r="I148" s="83">
        <f>'Imput Historical'!I135</f>
        <v>-2267</v>
      </c>
      <c r="J148" s="83">
        <f>'Imput Historical'!J135</f>
        <v>-4093</v>
      </c>
      <c r="K148" s="74">
        <v>0</v>
      </c>
      <c r="L148" s="74">
        <v>0</v>
      </c>
      <c r="M148" s="74">
        <v>0</v>
      </c>
      <c r="N148" s="74">
        <v>0</v>
      </c>
      <c r="O148" s="74">
        <v>0</v>
      </c>
    </row>
    <row r="149" spans="2:15" ht="15">
      <c r="B149" s="79" t="s">
        <v>239</v>
      </c>
      <c r="G149" s="77">
        <f>G147+G146+G148</f>
        <v>241956</v>
      </c>
      <c r="H149" s="77">
        <f t="shared" ref="H149:J149" si="74">H147+H146+H148</f>
        <v>209516</v>
      </c>
      <c r="I149" s="77">
        <f t="shared" si="74"/>
        <v>755610</v>
      </c>
      <c r="J149" s="77">
        <f t="shared" si="74"/>
        <v>526184</v>
      </c>
      <c r="K149" s="77">
        <f>K147+K146+K148</f>
        <v>312626.04083082825</v>
      </c>
      <c r="L149" s="77">
        <f t="shared" ref="L149:O149" si="75">L147+L146+L148</f>
        <v>348443.09397147223</v>
      </c>
      <c r="M149" s="77">
        <f t="shared" si="75"/>
        <v>664679.7623626946</v>
      </c>
      <c r="N149" s="77">
        <f t="shared" si="75"/>
        <v>1238458.2650094589</v>
      </c>
      <c r="O149" s="77">
        <f t="shared" si="75"/>
        <v>2010059.0737500421</v>
      </c>
    </row>
    <row r="151" spans="2:15" ht="15">
      <c r="B151" s="88" t="s">
        <v>240</v>
      </c>
      <c r="G151" s="89">
        <f>G130+G133</f>
        <v>210746</v>
      </c>
      <c r="H151" s="89">
        <f t="shared" ref="H151:J151" si="76">H130+H133</f>
        <v>23596</v>
      </c>
      <c r="I151" s="89">
        <f t="shared" si="76"/>
        <v>-93504</v>
      </c>
      <c r="J151" s="89">
        <f t="shared" si="76"/>
        <v>-659220</v>
      </c>
      <c r="K151" s="89">
        <f>K130+K133</f>
        <v>124224.04083082825</v>
      </c>
      <c r="L151" s="89">
        <f t="shared" ref="L151:O151" si="77">L130+L133</f>
        <v>385817.05314064398</v>
      </c>
      <c r="M151" s="89">
        <f t="shared" si="77"/>
        <v>666236.66839122237</v>
      </c>
      <c r="N151" s="89">
        <f t="shared" si="77"/>
        <v>923778.50264676427</v>
      </c>
      <c r="O151" s="89">
        <f t="shared" si="77"/>
        <v>1121600.8087405832</v>
      </c>
    </row>
    <row r="152" spans="2:15" ht="15">
      <c r="B152" s="88" t="s">
        <v>324</v>
      </c>
      <c r="G152" s="89"/>
      <c r="H152" s="89"/>
      <c r="I152" s="89"/>
      <c r="J152" s="89"/>
      <c r="K152" s="89">
        <f>K27*(1-'Imputs Drivers'!G38)-K14+K128+K133</f>
        <v>278506.64133082819</v>
      </c>
      <c r="L152" s="89">
        <f>L27*(1-'Imputs Drivers'!H38)-L14+L128+L133</f>
        <v>526465.94878319651</v>
      </c>
      <c r="M152" s="89">
        <f>M27*(1-'Imputs Drivers'!I38)-M14+M128+M133</f>
        <v>787758.40591782099</v>
      </c>
      <c r="N152" s="89">
        <f>N27*(1-'Imputs Drivers'!J38)-N14+N128+N133</f>
        <v>1020284.270137148</v>
      </c>
      <c r="O152" s="89">
        <f>O27*(1-'Imputs Drivers'!K38)-O14+O128+O133</f>
        <v>1187682.2276753848</v>
      </c>
    </row>
    <row r="153" spans="2:15" ht="15">
      <c r="B153" s="175"/>
      <c r="K153" s="93"/>
      <c r="L153" s="93"/>
      <c r="M153" s="93"/>
      <c r="N153" s="93"/>
      <c r="O153" s="93"/>
    </row>
    <row r="154" spans="2:15" ht="15">
      <c r="B154" s="81" t="s">
        <v>248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6" spans="2:15">
      <c r="B156" s="78" t="s">
        <v>243</v>
      </c>
      <c r="G156" s="92">
        <f>'Imput Historical'!G218</f>
        <v>99</v>
      </c>
      <c r="H156" s="92">
        <f>'Imput Historical'!H218</f>
        <v>82.3</v>
      </c>
      <c r="I156" s="92">
        <f>'Imput Historical'!I218</f>
        <v>79.8</v>
      </c>
      <c r="J156" s="92">
        <f>'Imput Historical'!J218</f>
        <v>68.2</v>
      </c>
      <c r="K156" s="92">
        <f>'Imputs Drivers'!G8</f>
        <v>85</v>
      </c>
      <c r="L156" s="92">
        <f>'Imputs Drivers'!H8</f>
        <v>82</v>
      </c>
      <c r="M156" s="92">
        <f>'Imputs Drivers'!I8</f>
        <v>80</v>
      </c>
      <c r="N156" s="92">
        <f>'Imputs Drivers'!J8</f>
        <v>78</v>
      </c>
      <c r="O156" s="92">
        <f>'Imputs Drivers'!K8</f>
        <v>75</v>
      </c>
    </row>
    <row r="157" spans="2:15">
      <c r="B157" s="78" t="s">
        <v>249</v>
      </c>
      <c r="G157" s="92">
        <f>'Imput Historical'!G220</f>
        <v>7.5</v>
      </c>
      <c r="H157" s="92">
        <f>'Imput Historical'!H220</f>
        <v>5.0999999999999996</v>
      </c>
      <c r="I157" s="92">
        <f>'Imput Historical'!I220</f>
        <v>4.5999999999999996</v>
      </c>
      <c r="J157" s="92">
        <f>'Imput Historical'!J220</f>
        <v>4.4000000000000004</v>
      </c>
      <c r="K157" s="92">
        <f>'Imputs Drivers'!G20</f>
        <v>4.3</v>
      </c>
      <c r="L157" s="92">
        <f>'Imputs Drivers'!H20</f>
        <v>4.0999999999999996</v>
      </c>
      <c r="M157" s="92">
        <f>'Imputs Drivers'!I20</f>
        <v>3.9</v>
      </c>
      <c r="N157" s="92">
        <f>'Imputs Drivers'!J20</f>
        <v>3.7</v>
      </c>
      <c r="O157" s="92">
        <f>'Imputs Drivers'!K20</f>
        <v>3.5</v>
      </c>
    </row>
    <row r="158" spans="2:15">
      <c r="B158" s="114" t="s">
        <v>242</v>
      </c>
      <c r="C158" s="114"/>
      <c r="D158" s="114"/>
      <c r="E158" s="114"/>
      <c r="F158" s="114"/>
      <c r="G158" s="186">
        <f>'Imput Historical'!G217</f>
        <v>48560</v>
      </c>
      <c r="H158" s="186">
        <f>'Imput Historical'!H217</f>
        <v>51149</v>
      </c>
      <c r="I158" s="186">
        <f>'Imput Historical'!I217</f>
        <v>69660</v>
      </c>
      <c r="J158" s="186">
        <f>'Imput Historical'!J217</f>
        <v>115479</v>
      </c>
      <c r="K158" s="186">
        <f>J158*(1+'Imputs Drivers'!G14)</f>
        <v>132800.84999999998</v>
      </c>
      <c r="L158" s="186">
        <f>K158*(1+'Imputs Drivers'!H14)</f>
        <v>148736.95199999999</v>
      </c>
      <c r="M158" s="186">
        <f>L158*(1+'Imputs Drivers'!I14)</f>
        <v>163610.64720000001</v>
      </c>
      <c r="N158" s="186">
        <f>M158*(1+'Imputs Drivers'!J14)</f>
        <v>176699.49897600003</v>
      </c>
      <c r="O158" s="186">
        <f>N158*(1+'Imputs Drivers'!K14)</f>
        <v>187301.46891456004</v>
      </c>
    </row>
    <row r="159" spans="2:15">
      <c r="B159" s="114" t="s">
        <v>333</v>
      </c>
      <c r="C159" s="114"/>
      <c r="D159" s="114"/>
      <c r="E159" s="114"/>
      <c r="F159" s="114"/>
      <c r="G159" s="187">
        <f>'Imput Historical'!G222</f>
        <v>13.3</v>
      </c>
      <c r="H159" s="187">
        <f>'Imput Historical'!H222</f>
        <v>14.8</v>
      </c>
      <c r="I159" s="187">
        <f>'Imput Historical'!I222</f>
        <v>17.2</v>
      </c>
      <c r="J159" s="187">
        <f>'Imput Historical'!J222</f>
        <v>17.5</v>
      </c>
      <c r="K159" s="187">
        <f>'Imputs Drivers'!G42</f>
        <v>17.5</v>
      </c>
      <c r="L159" s="187">
        <f>'Imputs Drivers'!H42</f>
        <v>17.5</v>
      </c>
      <c r="M159" s="187">
        <f>'Imputs Drivers'!I42</f>
        <v>17.5</v>
      </c>
      <c r="N159" s="187">
        <f>'Imputs Drivers'!J42</f>
        <v>17.5</v>
      </c>
      <c r="O159" s="187">
        <f>'Imputs Drivers'!K42</f>
        <v>17.5</v>
      </c>
    </row>
    <row r="162" spans="2:15" ht="15">
      <c r="B162" s="184" t="s">
        <v>315</v>
      </c>
      <c r="C162" s="184"/>
      <c r="D162" s="184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</row>
    <row r="163" spans="2:15">
      <c r="B163" s="173" t="s">
        <v>316</v>
      </c>
      <c r="K163" s="174" t="s">
        <v>61</v>
      </c>
      <c r="L163" s="174" t="s">
        <v>62</v>
      </c>
      <c r="M163" s="174" t="s">
        <v>63</v>
      </c>
      <c r="N163" s="174" t="s">
        <v>64</v>
      </c>
      <c r="O163" s="174" t="s">
        <v>65</v>
      </c>
    </row>
    <row r="165" spans="2:15">
      <c r="B165" s="114" t="s">
        <v>317</v>
      </c>
      <c r="K165" s="93">
        <f>J96+J107</f>
        <v>3154077</v>
      </c>
      <c r="L165" s="93">
        <f>K168</f>
        <v>2804077</v>
      </c>
      <c r="M165" s="93">
        <f>L168</f>
        <v>2454077</v>
      </c>
      <c r="N165" s="93">
        <f>M168</f>
        <v>2104077</v>
      </c>
      <c r="O165" s="93">
        <f>N168</f>
        <v>1754077</v>
      </c>
    </row>
    <row r="166" spans="2:15">
      <c r="B166" s="114" t="s">
        <v>233</v>
      </c>
      <c r="K166" s="93">
        <f>-'Imputs Drivers'!G39*1000</f>
        <v>-350000</v>
      </c>
      <c r="L166" s="93">
        <f>-'Imputs Drivers'!H39*1000</f>
        <v>-350000</v>
      </c>
      <c r="M166" s="93">
        <f>-'Imputs Drivers'!I39*1000</f>
        <v>-350000</v>
      </c>
      <c r="N166" s="93">
        <f>-'Imputs Drivers'!J39*1000</f>
        <v>-350000</v>
      </c>
      <c r="O166" s="93">
        <f>-'Imputs Drivers'!K39*1000</f>
        <v>-350000</v>
      </c>
    </row>
    <row r="167" spans="2:15">
      <c r="B167" s="114" t="s">
        <v>318</v>
      </c>
      <c r="K167" s="93">
        <f>'Imputs Drivers'!G40*1000</f>
        <v>0</v>
      </c>
      <c r="L167" s="93">
        <f>'Imputs Drivers'!H40*1000</f>
        <v>0</v>
      </c>
      <c r="M167" s="93">
        <f>'Imputs Drivers'!I40*1000</f>
        <v>0</v>
      </c>
      <c r="N167" s="93">
        <f>'Imputs Drivers'!J40*1000</f>
        <v>0</v>
      </c>
      <c r="O167" s="93">
        <f>'Imputs Drivers'!K40*1000</f>
        <v>0</v>
      </c>
    </row>
    <row r="168" spans="2:15" ht="15">
      <c r="B168" s="175" t="s">
        <v>319</v>
      </c>
      <c r="K168" s="93">
        <f>SUM(K165:K167)</f>
        <v>2804077</v>
      </c>
      <c r="L168" s="93">
        <f>SUM(L165:L167)</f>
        <v>2454077</v>
      </c>
      <c r="M168" s="93">
        <f>SUM(M165:M167)</f>
        <v>2104077</v>
      </c>
      <c r="N168" s="93">
        <f>SUM(N165:N167)</f>
        <v>1754077</v>
      </c>
      <c r="O168" s="93">
        <f>SUM(O165:O167)</f>
        <v>1404077</v>
      </c>
    </row>
    <row r="170" spans="2:15">
      <c r="B170" s="114" t="s">
        <v>320</v>
      </c>
      <c r="K170" s="93">
        <f>J72</f>
        <v>538402</v>
      </c>
      <c r="L170" s="93">
        <f>K72</f>
        <v>312626.04083082825</v>
      </c>
      <c r="M170" s="93">
        <f>L72</f>
        <v>348443.09397147223</v>
      </c>
      <c r="N170" s="93">
        <f>M72</f>
        <v>664679.7623626946</v>
      </c>
      <c r="O170" s="93">
        <f>N72</f>
        <v>1238458.2650094589</v>
      </c>
    </row>
    <row r="172" spans="2:15" ht="15">
      <c r="B172" s="175" t="s">
        <v>321</v>
      </c>
      <c r="K172" s="93">
        <f>-(K165+K178)*'Imputs Drivers'!G36</f>
        <v>-236555.77499999999</v>
      </c>
      <c r="L172" s="93">
        <f>-(L165+L178)*'Imputs Drivers'!H36</f>
        <v>-210305.77499999999</v>
      </c>
      <c r="M172" s="93">
        <f>-(M165+M178)*'Imputs Drivers'!I36</f>
        <v>-184055.77499999999</v>
      </c>
      <c r="N172" s="93">
        <f>-(N165+N178)*'Imputs Drivers'!J36</f>
        <v>-157805.77499999999</v>
      </c>
      <c r="O172" s="93">
        <f>-(O165+O178)*'Imputs Drivers'!K36</f>
        <v>-131555.77499999999</v>
      </c>
    </row>
    <row r="173" spans="2:15" ht="15">
      <c r="B173" s="175" t="s">
        <v>322</v>
      </c>
      <c r="K173" s="93">
        <f>K170*'Imputs Drivers'!G37</f>
        <v>16152.06</v>
      </c>
      <c r="L173" s="93">
        <f>L170*'Imputs Drivers'!H37</f>
        <v>9378.7812249248473</v>
      </c>
      <c r="M173" s="93">
        <f>M170*'Imputs Drivers'!I37</f>
        <v>10453.292819144166</v>
      </c>
      <c r="N173" s="93">
        <f>N170*'Imputs Drivers'!J37</f>
        <v>19940.392870880838</v>
      </c>
      <c r="O173" s="93">
        <f>O170*'Imputs Drivers'!K37</f>
        <v>37153.747950283767</v>
      </c>
    </row>
    <row r="175" spans="2:15">
      <c r="B175" s="114" t="s">
        <v>323</v>
      </c>
      <c r="K175" s="93">
        <f>MIN(-L166,K168)</f>
        <v>350000</v>
      </c>
      <c r="L175" s="93">
        <f>MIN(-M166,L168)</f>
        <v>350000</v>
      </c>
      <c r="M175" s="93">
        <f>MIN(-N166,M168)</f>
        <v>350000</v>
      </c>
      <c r="N175" s="93">
        <f>MIN(-O166,N168)</f>
        <v>350000</v>
      </c>
      <c r="O175" s="93">
        <f>MIN(-O166,O168)</f>
        <v>350000</v>
      </c>
    </row>
    <row r="177" spans="2:15">
      <c r="B177" s="114" t="s">
        <v>328</v>
      </c>
      <c r="K177" s="93">
        <f>K170+K130+K136+K139+K140+K141+K148</f>
        <v>312626.04083082825</v>
      </c>
      <c r="L177" s="93">
        <f>L170+L130+L136+L139+L140+L141+L148</f>
        <v>348443.09397147223</v>
      </c>
      <c r="M177" s="93">
        <f>M170+M130+M136+M139+M140+M141+M148</f>
        <v>664679.76236269437</v>
      </c>
      <c r="N177" s="93">
        <f>N170+N130+N136+N139+N140+N141+N148</f>
        <v>1238458.2650094591</v>
      </c>
      <c r="O177" s="93">
        <f>O170+O130+O136+O139+O140+O141+O148</f>
        <v>2010059.0737500424</v>
      </c>
    </row>
    <row r="178" spans="2:15">
      <c r="B178" s="114" t="s">
        <v>329</v>
      </c>
      <c r="K178" s="93">
        <v>0</v>
      </c>
      <c r="L178" s="93">
        <f>K180</f>
        <v>0</v>
      </c>
      <c r="M178" s="93">
        <f>L180</f>
        <v>0</v>
      </c>
      <c r="N178" s="93">
        <f>M180</f>
        <v>0</v>
      </c>
      <c r="O178" s="93">
        <f>N180</f>
        <v>0</v>
      </c>
    </row>
    <row r="179" spans="2:15">
      <c r="B179" s="114" t="s">
        <v>330</v>
      </c>
      <c r="K179" s="93">
        <f>MAX(0,'Imputs Drivers'!G41*1000-K177)-MIN(K178,MAX(0,K177-'Imputs Drivers'!G41*1000))</f>
        <v>0</v>
      </c>
      <c r="L179" s="93">
        <f>MAX(0,'Imputs Drivers'!H41*1000-L177)-MIN(L178,MAX(0,L177-'Imputs Drivers'!H41*1000))</f>
        <v>0</v>
      </c>
      <c r="M179" s="93">
        <f>MAX(0,'Imputs Drivers'!I41*1000-M177)-MIN(M178,MAX(0,M177-'Imputs Drivers'!I41*1000))</f>
        <v>0</v>
      </c>
      <c r="N179" s="93">
        <f>MAX(0,'Imputs Drivers'!J41*1000-N177)-MIN(N178,MAX(0,N177-'Imputs Drivers'!J41*1000))</f>
        <v>0</v>
      </c>
      <c r="O179" s="93">
        <f>MAX(0,'Imputs Drivers'!K41*1000-O177)-MIN(O178,MAX(0,O177-'Imputs Drivers'!K41*1000))</f>
        <v>0</v>
      </c>
    </row>
    <row r="180" spans="2:15" ht="15">
      <c r="B180" s="175" t="s">
        <v>331</v>
      </c>
      <c r="K180" s="93">
        <f>K178+K179</f>
        <v>0</v>
      </c>
      <c r="L180" s="93">
        <f>L178+L179</f>
        <v>0</v>
      </c>
      <c r="M180" s="93">
        <f>M178+M179</f>
        <v>0</v>
      </c>
      <c r="N180" s="93">
        <f>N178+N179</f>
        <v>0</v>
      </c>
      <c r="O180" s="93">
        <f>O178+O179</f>
        <v>0</v>
      </c>
    </row>
  </sheetData>
  <mergeCells count="1">
    <mergeCell ref="B162:D16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Cover</vt:lpstr>
      <vt:lpstr>Outputs</vt:lpstr>
      <vt:lpstr>Imput Historical</vt:lpstr>
      <vt:lpstr>Imputs Drivers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Santucci, Andreas</dc:creator>
  <cp:lastModifiedBy>ANDREAS SANTUCCI</cp:lastModifiedBy>
  <dcterms:created xsi:type="dcterms:W3CDTF">2026-06-19T12:53:50Z</dcterms:created>
  <dcterms:modified xsi:type="dcterms:W3CDTF">2026-07-29T02:18:03Z</dcterms:modified>
</cp:coreProperties>
</file>